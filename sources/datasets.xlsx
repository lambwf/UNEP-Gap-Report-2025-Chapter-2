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J5" i="1"/>
  <c r="H5" i="1"/>
  <c r="G5" i="1"/>
  <c r="E5" i="1"/>
  <c r="K4" i="1"/>
  <c r="K3" i="1"/>
  <c r="K2" i="1"/>
  <c r="J4" i="1"/>
  <c r="J3" i="1"/>
  <c r="J2" i="1"/>
  <c r="H4" i="1"/>
  <c r="H3" i="1"/>
  <c r="H2" i="1"/>
  <c r="C4" i="1"/>
  <c r="D4" i="1"/>
  <c r="E4" i="1" s="1"/>
  <c r="G4" i="1"/>
  <c r="G3" i="1"/>
  <c r="G2" i="1"/>
  <c r="E3" i="1"/>
  <c r="E2" i="1"/>
</calcChain>
</file>

<file path=xl/sharedStrings.xml><?xml version="1.0" encoding="utf-8"?>
<sst xmlns="http://schemas.openxmlformats.org/spreadsheetml/2006/main" count="7" uniqueCount="7">
  <si>
    <t>IEA</t>
  </si>
  <si>
    <t>https://iea.blob.core.windows.net/assets/5b169aa1-bc88-4c96-b828-aaa50406ba80/GlobalEnergyReview2025.pdf</t>
  </si>
  <si>
    <t>link</t>
  </si>
  <si>
    <t>https://www.energyinst.org/statistical-review</t>
  </si>
  <si>
    <t>Energy Institute</t>
  </si>
  <si>
    <t>GCB</t>
  </si>
  <si>
    <t>EDGAR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</si>
</sst>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-* #,##0.00_-;\-* #,##0.00_-;_-* &quot;-&quot;??_-;_-@_-"/>
    <numFmt numFmtId="177" formatCode="0.0%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u/>
      <sz val="8"/>
      <color indexed="12"/>
      <name val="Arial"/>
      <family val="2"/>
    </font>
    <font>
      <u/>
      <sz val="8"/>
      <color theme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sz val="8.5"/>
      <color indexed="50"/>
      <name val="Arial"/>
      <family val="2"/>
    </font>
    <font>
      <sz val="6"/>
      <name val="Arial"/>
      <family val="2"/>
    </font>
    <font>
      <sz val="9"/>
      <name val="Geneva"/>
    </font>
    <font>
      <sz val="11"/>
      <color rgb="FF000000"/>
      <name val="Calibri"/>
      <family val="2"/>
    </font>
    <font>
      <sz val="6.5"/>
      <name val="Arial"/>
      <family val="2"/>
    </font>
    <font>
      <b/>
      <sz val="7"/>
      <name val="Arial"/>
      <family val="2"/>
    </font>
    <font>
      <sz val="14"/>
      <color indexed="50"/>
      <name val="Arial"/>
      <family val="2"/>
    </font>
    <font>
      <b/>
      <sz val="7"/>
      <color indexed="9"/>
      <name val="Arial"/>
      <family val="2"/>
    </font>
    <font>
      <sz val="12"/>
      <color theme="1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0"/>
      </bottom>
      <diagonal/>
    </border>
  </borders>
  <cellStyleXfs count="42">
    <xf numFmtId="0" fontId="0" fillId="0" borderId="0"/>
    <xf numFmtId="9" fontId="1" fillId="0" borderId="0" applyFont="0" applyFill="0" applyBorder="0" applyAlignment="0" applyProtection="0"/>
    <xf numFmtId="0" fontId="3" fillId="0" borderId="0" applyFill="0" applyBorder="0"/>
    <xf numFmtId="0" fontId="4" fillId="0" borderId="0" applyNumberFormat="0" applyFill="0" applyBorder="0" applyAlignment="0" applyProtection="0">
      <alignment vertical="top"/>
      <protection locked="0"/>
    </xf>
    <xf numFmtId="171" fontId="1" fillId="0" borderId="0" applyFont="0" applyFill="0" applyBorder="0" applyAlignment="0" applyProtection="0"/>
    <xf numFmtId="0" fontId="3" fillId="0" borderId="0" applyFill="0" applyBorder="0">
      <alignment vertical="center"/>
    </xf>
    <xf numFmtId="0" fontId="2" fillId="0" borderId="0" applyNumberFormat="0" applyFill="0" applyBorder="0" applyAlignment="0" applyProtection="0"/>
    <xf numFmtId="0" fontId="6" fillId="0" borderId="0" applyFill="0" applyBorder="0">
      <alignment vertical="center"/>
    </xf>
    <xf numFmtId="0" fontId="1" fillId="0" borderId="0"/>
    <xf numFmtId="0" fontId="3" fillId="0" borderId="1" applyNumberFormat="0" applyFont="0" applyAlignment="0">
      <alignment vertical="center"/>
    </xf>
    <xf numFmtId="0" fontId="3" fillId="0" borderId="0" applyFill="0" applyBorder="0"/>
    <xf numFmtId="0" fontId="3" fillId="0" borderId="0" applyFill="0" applyBorder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3" fillId="0" borderId="0" applyFill="0" applyBorder="0"/>
    <xf numFmtId="0" fontId="7" fillId="0" borderId="0"/>
    <xf numFmtId="0" fontId="9" fillId="0" borderId="0"/>
    <xf numFmtId="0" fontId="3" fillId="0" borderId="0" applyFill="0" applyBorder="0"/>
    <xf numFmtId="0" fontId="1" fillId="0" borderId="0"/>
    <xf numFmtId="0" fontId="5" fillId="0" borderId="0" applyNumberFormat="0" applyFill="0" applyBorder="0" applyAlignment="0" applyProtection="0"/>
    <xf numFmtId="0" fontId="10" fillId="0" borderId="0"/>
    <xf numFmtId="0" fontId="11" fillId="0" borderId="0">
      <alignment horizontal="right"/>
    </xf>
    <xf numFmtId="0" fontId="6" fillId="0" borderId="0" applyAlignment="0">
      <alignment horizontal="left"/>
    </xf>
    <xf numFmtId="0" fontId="6" fillId="0" borderId="0">
      <alignment horizontal="right"/>
    </xf>
    <xf numFmtId="177" fontId="6" fillId="0" borderId="0">
      <alignment horizontal="right"/>
    </xf>
    <xf numFmtId="0" fontId="3" fillId="0" borderId="0" applyFill="0" applyBorder="0"/>
    <xf numFmtId="177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/>
    <xf numFmtId="0" fontId="3" fillId="0" borderId="0" applyFill="0" applyBorder="0"/>
    <xf numFmtId="0" fontId="16" fillId="0" borderId="0"/>
    <xf numFmtId="0" fontId="7" fillId="0" borderId="0"/>
    <xf numFmtId="0" fontId="1" fillId="0" borderId="0"/>
    <xf numFmtId="0" fontId="15" fillId="0" borderId="2" applyNumberFormat="0" applyAlignment="0"/>
    <xf numFmtId="0" fontId="17" fillId="0" borderId="0"/>
    <xf numFmtId="0" fontId="3" fillId="0" borderId="0" applyFill="0" applyBorder="0"/>
    <xf numFmtId="9" fontId="3" fillId="0" borderId="0" applyFont="0" applyFill="0" applyBorder="0" applyAlignment="0" applyProtection="0"/>
    <xf numFmtId="0" fontId="18" fillId="0" borderId="0"/>
  </cellStyleXfs>
  <cellXfs count="5">
    <xf numFmtId="0" fontId="0" fillId="0" borderId="0" xfId="0"/>
    <xf numFmtId="177" fontId="0" fillId="0" borderId="0" xfId="1" applyNumberFormat="1" applyFont="1"/>
    <xf numFmtId="0" fontId="0" fillId="0" borderId="0" xfId="0"/>
    <xf numFmtId="10" fontId="0" fillId="0" borderId="0" xfId="1" applyNumberFormat="1" applyFont="1"/>
    <xf numFmtId="3" fontId="19" fillId="0" borderId="0" xfId="0" applyNumberFormat="1" applyFont="1"/>
  </cellXfs>
  <cellStyles count="42">
    <cellStyle name="02_Rule above and below" xfId="9"/>
    <cellStyle name="03_Table Notes" xfId="7"/>
    <cellStyle name="04_Table text" xfId="5"/>
    <cellStyle name="C01_Main head" xfId="34"/>
    <cellStyle name="C02_Column heads" xfId="24"/>
    <cellStyle name="C03_Sub head bold" xfId="23"/>
    <cellStyle name="C04_Total text white bold" xfId="38"/>
    <cellStyle name="C04a_Total text black with rule" xfId="37"/>
    <cellStyle name="C05_Main text" xfId="25"/>
    <cellStyle name="C06_Figs" xfId="26"/>
    <cellStyle name="C07_Figs 1 dec percent" xfId="27"/>
    <cellStyle name="C09_Notes" xfId="32"/>
    <cellStyle name="Hyperlink 2" xfId="3"/>
    <cellStyle name="Hyperlink 2 2" xfId="6"/>
    <cellStyle name="Hyperlink 2 2 2" xfId="15"/>
    <cellStyle name="Hyperlink 3" xfId="22"/>
    <cellStyle name="Komma 2" xfId="4"/>
    <cellStyle name="Normal 18" xfId="12"/>
    <cellStyle name="Normal 2" xfId="2"/>
    <cellStyle name="Normal 2 2 2" xfId="35"/>
    <cellStyle name="Normal 2 2 3" xfId="17"/>
    <cellStyle name="Normal 2 2 9 2" xfId="14"/>
    <cellStyle name="Normal 2 3" xfId="18"/>
    <cellStyle name="Normal 2 5" xfId="39"/>
    <cellStyle name="Normal 2 6" xfId="16"/>
    <cellStyle name="Normal 20" xfId="36"/>
    <cellStyle name="Normal 3" xfId="11"/>
    <cellStyle name="Normal 33" xfId="10"/>
    <cellStyle name="Normal 4" xfId="41"/>
    <cellStyle name="Normal 4 2 2" xfId="8"/>
    <cellStyle name="Normal 5 8 2" xfId="21"/>
    <cellStyle name="Normal 6" xfId="19"/>
    <cellStyle name="Normal 8 2" xfId="33"/>
    <cellStyle name="Normal 8 7" xfId="28"/>
    <cellStyle name="Normal_GIIGNL 11 Adj" xfId="20"/>
    <cellStyle name="Percent 2" xfId="13"/>
    <cellStyle name="Percent 2 2" xfId="40"/>
    <cellStyle name="Percent 3" xfId="30"/>
    <cellStyle name="Percent 4" xfId="31"/>
    <cellStyle name="Percent 8" xfId="29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K5" sqref="K5"/>
    </sheetView>
  </sheetViews>
  <sheetFormatPr baseColWidth="10" defaultColWidth="9.140625" defaultRowHeight="15"/>
  <cols>
    <col min="11" max="11" width="16.28515625" bestFit="1" customWidth="1"/>
  </cols>
  <sheetData>
    <row r="1" spans="1:11">
      <c r="B1" t="s">
        <v>2</v>
      </c>
      <c r="C1">
        <v>2023</v>
      </c>
      <c r="D1">
        <v>2024</v>
      </c>
    </row>
    <row r="2" spans="1:11">
      <c r="A2" t="s">
        <v>0</v>
      </c>
      <c r="B2" t="s">
        <v>1</v>
      </c>
      <c r="C2">
        <v>37270</v>
      </c>
      <c r="D2">
        <v>37566</v>
      </c>
      <c r="E2">
        <f>D2*365/366</f>
        <v>37463.360655737706</v>
      </c>
      <c r="G2">
        <f>D2-C2</f>
        <v>296</v>
      </c>
      <c r="H2" s="3">
        <f>G2/C2</f>
        <v>7.9420445398443781E-3</v>
      </c>
      <c r="J2">
        <f>E2-C2</f>
        <v>193.36065573770611</v>
      </c>
      <c r="K2" s="1">
        <f>J2/C2</f>
        <v>5.1881045274404644E-3</v>
      </c>
    </row>
    <row r="3" spans="1:11">
      <c r="A3" t="s">
        <v>4</v>
      </c>
      <c r="B3" t="s">
        <v>3</v>
      </c>
      <c r="C3">
        <v>35024.300000000003</v>
      </c>
      <c r="D3">
        <v>35491.800000000003</v>
      </c>
      <c r="E3" s="2">
        <f>D3*365/366</f>
        <v>35394.827868852466</v>
      </c>
      <c r="G3" s="2">
        <f>D3-C3</f>
        <v>467.5</v>
      </c>
      <c r="H3" s="3">
        <f>G3/C3</f>
        <v>1.3347875617785365E-2</v>
      </c>
      <c r="J3" s="2">
        <f>E3-C3</f>
        <v>370.52786885246314</v>
      </c>
      <c r="K3" s="1">
        <f>J3/C3</f>
        <v>1.0579165575113939E-2</v>
      </c>
    </row>
    <row r="4" spans="1:11">
      <c r="A4" t="s">
        <v>5</v>
      </c>
      <c r="C4">
        <f>10.1*3.664*1000</f>
        <v>37006.400000000001</v>
      </c>
      <c r="D4">
        <f>10.2*3.664*1000</f>
        <v>37372.799999999996</v>
      </c>
      <c r="E4" s="2">
        <f>D4*365/366</f>
        <v>37270.688524590158</v>
      </c>
      <c r="G4" s="2">
        <f>D4-C4</f>
        <v>366.39999999999418</v>
      </c>
      <c r="H4" s="3">
        <f>G4/C4</f>
        <v>9.9009900990097433E-3</v>
      </c>
      <c r="J4" s="2">
        <f>E4-C4</f>
        <v>264.28852459015616</v>
      </c>
      <c r="K4" s="1">
        <f>J4/C4</f>
        <v>7.1416977763348001E-3</v>
      </c>
    </row>
    <row r="5" spans="1:11">
      <c r="A5" t="s">
        <v>6</v>
      </c>
      <c r="C5" s="4">
        <v>39112703</v>
      </c>
      <c r="D5" s="4">
        <v>39632679</v>
      </c>
      <c r="E5" s="2">
        <f>D5*365/366</f>
        <v>39524392.991803281</v>
      </c>
      <c r="G5" s="2">
        <f>D5-C5</f>
        <v>519976</v>
      </c>
      <c r="H5" s="3">
        <f>G5/C5</f>
        <v>1.3294299808427968E-2</v>
      </c>
      <c r="J5" s="2">
        <f>E5-C5</f>
        <v>411689.99180328101</v>
      </c>
      <c r="K5" s="1">
        <f>J5/C5</f>
        <v>1.0525736147749262E-2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2025-09-16T11:53:02Z</dcterms:modified>
</cp:coreProperties>
</file>