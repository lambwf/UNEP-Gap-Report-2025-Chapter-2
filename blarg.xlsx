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mw\Nextcloud\Projects\UNEP-Gap-Report-2025-Chapter-2\"/>
    </mc:Choice>
  </mc:AlternateContent>
  <bookViews>
    <workbookView xWindow="0" yWindow="0" windowWidth="13125" windowHeight="6105"/>
  </bookViews>
  <sheets>
    <sheet name="Sheet 1" sheetId="1" r:id="rId1"/>
  </sheets>
  <calcPr calcId="162913"/>
</workbook>
</file>

<file path=xl/calcChain.xml><?xml version="1.0" encoding="utf-8"?>
<calcChain xmlns="http://schemas.openxmlformats.org/spreadsheetml/2006/main">
  <c r="S60" i="1" l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1" i="1"/>
  <c r="R32" i="1"/>
</calcChain>
</file>

<file path=xl/sharedStrings.xml><?xml version="1.0" encoding="utf-8"?>
<sst xmlns="http://schemas.openxmlformats.org/spreadsheetml/2006/main" count="132" uniqueCount="74">
  <si>
    <t>country</t>
  </si>
  <si>
    <t>flow</t>
  </si>
  <si>
    <t>year</t>
  </si>
  <si>
    <t>electricity</t>
  </si>
  <si>
    <t>heat</t>
  </si>
  <si>
    <t>co2</t>
  </si>
  <si>
    <t>co2_indirect</t>
  </si>
  <si>
    <t>elecheat</t>
  </si>
  <si>
    <t>Total final consumption</t>
  </si>
  <si>
    <t>Energy industry own use</t>
  </si>
  <si>
    <t>Losses</t>
  </si>
  <si>
    <t>co2_elecheat</t>
  </si>
  <si>
    <t>co2_eneown</t>
  </si>
  <si>
    <t>co2_total</t>
  </si>
  <si>
    <t>People's Republic of China</t>
  </si>
  <si>
    <t>Production</t>
  </si>
  <si>
    <t>Imports</t>
  </si>
  <si>
    <t>Exports</t>
  </si>
  <si>
    <t>International marine bunkers</t>
  </si>
  <si>
    <t>International aviation bunkers</t>
  </si>
  <si>
    <t>Stock changes</t>
  </si>
  <si>
    <t>Total energy supply</t>
  </si>
  <si>
    <t xml:space="preserve">   Transfers</t>
  </si>
  <si>
    <t xml:space="preserve">   Statistical differences</t>
  </si>
  <si>
    <t xml:space="preserve">   Main activity producer electricity plants</t>
  </si>
  <si>
    <t xml:space="preserve">   Autoproducer electricity plants</t>
  </si>
  <si>
    <t xml:space="preserve">   Main activity producer CHP plants</t>
  </si>
  <si>
    <t xml:space="preserve">   Autoproducer CHP plants</t>
  </si>
  <si>
    <t xml:space="preserve">   Main activity producer heat plants</t>
  </si>
  <si>
    <t xml:space="preserve">   Autoproducer heat plants</t>
  </si>
  <si>
    <t xml:space="preserve">   Heat pumps</t>
  </si>
  <si>
    <t xml:space="preserve">   Electric boilers</t>
  </si>
  <si>
    <t xml:space="preserve">   Chemical heat for electricity production</t>
  </si>
  <si>
    <t xml:space="preserve">   Blast furnaces</t>
  </si>
  <si>
    <t xml:space="preserve">   Gas works</t>
  </si>
  <si>
    <t xml:space="preserve">   Coke ovens</t>
  </si>
  <si>
    <t xml:space="preserve">   Patent fuel plants</t>
  </si>
  <si>
    <t xml:space="preserve">   BKB/peat briquettes plants</t>
  </si>
  <si>
    <t xml:space="preserve">   Oil refineries</t>
  </si>
  <si>
    <t xml:space="preserve">   Petrochemical plants</t>
  </si>
  <si>
    <t xml:space="preserve">   Liquefaction plants</t>
  </si>
  <si>
    <t xml:space="preserve">   Other transformation</t>
  </si>
  <si>
    <t xml:space="preserve">   Energy industry own use</t>
  </si>
  <si>
    <t xml:space="preserve">   Losses</t>
  </si>
  <si>
    <t xml:space="preserve">   Total final consumption</t>
  </si>
  <si>
    <t xml:space="preserve">      Industry</t>
  </si>
  <si>
    <t xml:space="preserve">         Mining and quarrying</t>
  </si>
  <si>
    <t xml:space="preserve">         Construction</t>
  </si>
  <si>
    <t xml:space="preserve">         Manufacturing</t>
  </si>
  <si>
    <t xml:space="preserve">            Iron and steel</t>
  </si>
  <si>
    <t xml:space="preserve">            Chemical and petrochemical</t>
  </si>
  <si>
    <t xml:space="preserve">            Non-ferrous metals</t>
  </si>
  <si>
    <t xml:space="preserve">            Non-metallic minerals</t>
  </si>
  <si>
    <t xml:space="preserve">            Transport equipment</t>
  </si>
  <si>
    <t xml:space="preserve">            Machinery</t>
  </si>
  <si>
    <t xml:space="preserve">            Food and tobacco</t>
  </si>
  <si>
    <t xml:space="preserve">            Paper, pulp and printing</t>
  </si>
  <si>
    <t xml:space="preserve">            Wood and wood products</t>
  </si>
  <si>
    <t xml:space="preserve">            Textile and leather</t>
  </si>
  <si>
    <t xml:space="preserve">         Industry not elsewhere specified</t>
  </si>
  <si>
    <t xml:space="preserve">      Transport</t>
  </si>
  <si>
    <t xml:space="preserve">         World aviation bunkers</t>
  </si>
  <si>
    <t xml:space="preserve">         Domestic aviation</t>
  </si>
  <si>
    <t xml:space="preserve">         Road</t>
  </si>
  <si>
    <t xml:space="preserve">         Rail</t>
  </si>
  <si>
    <t xml:space="preserve">         Pipeline transport</t>
  </si>
  <si>
    <t xml:space="preserve">         World marine bunkers</t>
  </si>
  <si>
    <t xml:space="preserve">         Domestic navigation</t>
  </si>
  <si>
    <t xml:space="preserve">         Transport not elsewhere specified</t>
  </si>
  <si>
    <t xml:space="preserve">      Residential</t>
  </si>
  <si>
    <t xml:space="preserve">      Commercial and public services</t>
  </si>
  <si>
    <t xml:space="preserve">      Agriculture/forestry</t>
  </si>
  <si>
    <t xml:space="preserve">      Fishing</t>
  </si>
  <si>
    <t xml:space="preserve">      Final consumption not elsewhere 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</si>
</sst>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" fontId="0" fillId="0" borderId="0" xfId="0" applyNumberForma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0"/>
  <sheetViews>
    <sheetView tabSelected="1" topLeftCell="A16" workbookViewId="0">
      <selection activeCell="T31" sqref="T31"/>
    </sheetView>
  </sheetViews>
  <sheetFormatPr baseColWidth="10" defaultRowHeight="15" x14ac:dyDescent="0.25"/>
  <cols>
    <col min="1" max="1" width="24.7109375" bestFit="1" customWidth="1"/>
    <col min="2" max="2" width="61.28515625" bestFit="1" customWidth="1"/>
    <col min="11" max="11" width="22.140625" bestFit="1" customWidth="1"/>
    <col min="12" max="12" width="22.85546875" bestFit="1" customWidth="1"/>
    <col min="14" max="14" width="12.7109375" bestFit="1" customWidth="1"/>
    <col min="15" max="15" width="12.28515625" bestFit="1" customWidth="1"/>
    <col min="18" max="18" width="11.42578125" style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H1" t="s">
        <v>5</v>
      </c>
      <c r="I1" t="s">
        <v>6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25">
      <c r="A2" t="s">
        <v>14</v>
      </c>
      <c r="B2" t="s">
        <v>15</v>
      </c>
      <c r="C2">
        <v>2019</v>
      </c>
      <c r="D2">
        <v>0</v>
      </c>
      <c r="E2">
        <v>0</v>
      </c>
      <c r="F2">
        <v>0</v>
      </c>
      <c r="K2">
        <v>28143104</v>
      </c>
      <c r="L2">
        <v>-3749958</v>
      </c>
      <c r="M2">
        <v>-1251812</v>
      </c>
      <c r="N2">
        <v>5238131</v>
      </c>
      <c r="O2">
        <v>349943</v>
      </c>
      <c r="P2">
        <v>9876496</v>
      </c>
    </row>
    <row r="3" spans="1:16" x14ac:dyDescent="0.25">
      <c r="A3" t="s">
        <v>14</v>
      </c>
      <c r="B3" t="s">
        <v>16</v>
      </c>
      <c r="C3">
        <v>2019</v>
      </c>
      <c r="D3">
        <v>17489</v>
      </c>
      <c r="E3">
        <v>0</v>
      </c>
      <c r="F3">
        <v>17489</v>
      </c>
      <c r="K3">
        <v>28143104</v>
      </c>
      <c r="L3">
        <v>-3749958</v>
      </c>
      <c r="M3">
        <v>-1251812</v>
      </c>
      <c r="N3">
        <v>5238131</v>
      </c>
      <c r="O3">
        <v>349943</v>
      </c>
      <c r="P3">
        <v>9876496</v>
      </c>
    </row>
    <row r="4" spans="1:16" x14ac:dyDescent="0.25">
      <c r="A4" t="s">
        <v>14</v>
      </c>
      <c r="B4" t="s">
        <v>17</v>
      </c>
      <c r="C4">
        <v>2019</v>
      </c>
      <c r="D4">
        <v>-77958</v>
      </c>
      <c r="E4">
        <v>0</v>
      </c>
      <c r="F4">
        <v>-77958</v>
      </c>
      <c r="K4">
        <v>28143104</v>
      </c>
      <c r="L4">
        <v>-3749958</v>
      </c>
      <c r="M4">
        <v>-1251812</v>
      </c>
      <c r="N4">
        <v>5238131</v>
      </c>
      <c r="O4">
        <v>349943</v>
      </c>
      <c r="P4">
        <v>9876496</v>
      </c>
    </row>
    <row r="5" spans="1:16" x14ac:dyDescent="0.25">
      <c r="A5" t="s">
        <v>14</v>
      </c>
      <c r="B5" t="s">
        <v>18</v>
      </c>
      <c r="C5">
        <v>2019</v>
      </c>
      <c r="D5">
        <v>0</v>
      </c>
      <c r="E5">
        <v>0</v>
      </c>
      <c r="F5">
        <v>0</v>
      </c>
      <c r="K5">
        <v>28143104</v>
      </c>
      <c r="L5">
        <v>-3749958</v>
      </c>
      <c r="M5">
        <v>-1251812</v>
      </c>
      <c r="N5">
        <v>5238131</v>
      </c>
      <c r="O5">
        <v>349943</v>
      </c>
      <c r="P5">
        <v>9876496</v>
      </c>
    </row>
    <row r="6" spans="1:16" x14ac:dyDescent="0.25">
      <c r="A6" t="s">
        <v>14</v>
      </c>
      <c r="B6" t="s">
        <v>19</v>
      </c>
      <c r="C6">
        <v>2019</v>
      </c>
      <c r="D6">
        <v>0</v>
      </c>
      <c r="E6">
        <v>0</v>
      </c>
      <c r="F6">
        <v>0</v>
      </c>
      <c r="K6">
        <v>28143104</v>
      </c>
      <c r="L6">
        <v>-3749958</v>
      </c>
      <c r="M6">
        <v>-1251812</v>
      </c>
      <c r="N6">
        <v>5238131</v>
      </c>
      <c r="O6">
        <v>349943</v>
      </c>
      <c r="P6">
        <v>9876496</v>
      </c>
    </row>
    <row r="7" spans="1:16" x14ac:dyDescent="0.25">
      <c r="A7" t="s">
        <v>14</v>
      </c>
      <c r="B7" t="s">
        <v>20</v>
      </c>
      <c r="C7">
        <v>2019</v>
      </c>
      <c r="D7">
        <v>0</v>
      </c>
      <c r="E7">
        <v>0</v>
      </c>
      <c r="F7">
        <v>0</v>
      </c>
      <c r="K7">
        <v>28143104</v>
      </c>
      <c r="L7">
        <v>-3749958</v>
      </c>
      <c r="M7">
        <v>-1251812</v>
      </c>
      <c r="N7">
        <v>5238131</v>
      </c>
      <c r="O7">
        <v>349943</v>
      </c>
      <c r="P7">
        <v>9876496</v>
      </c>
    </row>
    <row r="8" spans="1:16" x14ac:dyDescent="0.25">
      <c r="A8" t="s">
        <v>14</v>
      </c>
      <c r="B8" t="s">
        <v>21</v>
      </c>
      <c r="C8">
        <v>2019</v>
      </c>
      <c r="D8">
        <v>-60469</v>
      </c>
      <c r="E8">
        <v>0</v>
      </c>
      <c r="F8">
        <v>-60469</v>
      </c>
      <c r="K8">
        <v>28143104</v>
      </c>
      <c r="L8">
        <v>-3749958</v>
      </c>
      <c r="M8">
        <v>-1251812</v>
      </c>
      <c r="N8">
        <v>5238131</v>
      </c>
      <c r="O8">
        <v>349943</v>
      </c>
      <c r="P8">
        <v>9876496</v>
      </c>
    </row>
    <row r="9" spans="1:16" x14ac:dyDescent="0.25">
      <c r="A9" t="s">
        <v>14</v>
      </c>
      <c r="B9" t="s">
        <v>22</v>
      </c>
      <c r="C9">
        <v>2019</v>
      </c>
      <c r="D9">
        <v>0</v>
      </c>
      <c r="E9">
        <v>0</v>
      </c>
      <c r="F9">
        <v>0</v>
      </c>
      <c r="K9">
        <v>28143104</v>
      </c>
      <c r="L9">
        <v>-3749958</v>
      </c>
      <c r="M9">
        <v>-1251812</v>
      </c>
      <c r="N9">
        <v>5238131</v>
      </c>
      <c r="O9">
        <v>349943</v>
      </c>
      <c r="P9">
        <v>9876496</v>
      </c>
    </row>
    <row r="10" spans="1:16" x14ac:dyDescent="0.25">
      <c r="A10" t="s">
        <v>14</v>
      </c>
      <c r="B10" t="s">
        <v>23</v>
      </c>
      <c r="C10">
        <v>2019</v>
      </c>
      <c r="D10">
        <v>804453</v>
      </c>
      <c r="E10">
        <v>2314</v>
      </c>
      <c r="F10">
        <v>806767</v>
      </c>
      <c r="K10">
        <v>28143104</v>
      </c>
      <c r="L10">
        <v>-3749958</v>
      </c>
      <c r="M10">
        <v>-1251812</v>
      </c>
      <c r="N10">
        <v>5238131</v>
      </c>
      <c r="O10">
        <v>349943</v>
      </c>
      <c r="P10">
        <v>9876496</v>
      </c>
    </row>
    <row r="11" spans="1:16" x14ac:dyDescent="0.25">
      <c r="A11" t="s">
        <v>14</v>
      </c>
      <c r="B11" t="s">
        <v>24</v>
      </c>
      <c r="C11">
        <v>2019</v>
      </c>
      <c r="D11">
        <v>17935699</v>
      </c>
      <c r="E11">
        <v>0</v>
      </c>
      <c r="F11">
        <v>17935699</v>
      </c>
      <c r="K11">
        <v>28143104</v>
      </c>
      <c r="L11">
        <v>-3749958</v>
      </c>
      <c r="M11">
        <v>-1251812</v>
      </c>
      <c r="N11">
        <v>5238131</v>
      </c>
      <c r="O11">
        <v>349943</v>
      </c>
      <c r="P11">
        <v>9876496</v>
      </c>
    </row>
    <row r="12" spans="1:16" x14ac:dyDescent="0.25">
      <c r="A12" t="s">
        <v>14</v>
      </c>
      <c r="B12" t="s">
        <v>25</v>
      </c>
      <c r="C12">
        <v>2019</v>
      </c>
      <c r="D12">
        <v>1741459</v>
      </c>
      <c r="E12">
        <v>0</v>
      </c>
      <c r="F12">
        <v>1741459</v>
      </c>
      <c r="K12">
        <v>28143104</v>
      </c>
      <c r="L12">
        <v>-3749958</v>
      </c>
      <c r="M12">
        <v>-1251812</v>
      </c>
      <c r="N12">
        <v>5238131</v>
      </c>
      <c r="O12">
        <v>349943</v>
      </c>
      <c r="P12">
        <v>9876496</v>
      </c>
    </row>
    <row r="13" spans="1:16" x14ac:dyDescent="0.25">
      <c r="A13" t="s">
        <v>14</v>
      </c>
      <c r="B13" t="s">
        <v>26</v>
      </c>
      <c r="C13">
        <v>2019</v>
      </c>
      <c r="D13">
        <v>7222672</v>
      </c>
      <c r="E13">
        <v>4973783</v>
      </c>
      <c r="F13">
        <v>12196455</v>
      </c>
      <c r="K13">
        <v>28143104</v>
      </c>
      <c r="L13">
        <v>-3749958</v>
      </c>
      <c r="M13">
        <v>-1251812</v>
      </c>
      <c r="N13">
        <v>5238131</v>
      </c>
      <c r="O13">
        <v>349943</v>
      </c>
      <c r="P13">
        <v>9876496</v>
      </c>
    </row>
    <row r="14" spans="1:16" x14ac:dyDescent="0.25">
      <c r="A14" t="s">
        <v>14</v>
      </c>
      <c r="B14" t="s">
        <v>27</v>
      </c>
      <c r="C14">
        <v>2019</v>
      </c>
      <c r="D14">
        <v>0</v>
      </c>
      <c r="E14">
        <v>0</v>
      </c>
      <c r="F14">
        <v>0</v>
      </c>
      <c r="K14">
        <v>28143104</v>
      </c>
      <c r="L14">
        <v>-3749958</v>
      </c>
      <c r="M14">
        <v>-1251812</v>
      </c>
      <c r="N14">
        <v>5238131</v>
      </c>
      <c r="O14">
        <v>349943</v>
      </c>
      <c r="P14">
        <v>9876496</v>
      </c>
    </row>
    <row r="15" spans="1:16" x14ac:dyDescent="0.25">
      <c r="A15" t="s">
        <v>14</v>
      </c>
      <c r="B15" t="s">
        <v>28</v>
      </c>
      <c r="C15">
        <v>2019</v>
      </c>
      <c r="D15">
        <v>0</v>
      </c>
      <c r="E15">
        <v>21427</v>
      </c>
      <c r="F15">
        <v>21427</v>
      </c>
      <c r="K15">
        <v>28143104</v>
      </c>
      <c r="L15">
        <v>-3749958</v>
      </c>
      <c r="M15">
        <v>-1251812</v>
      </c>
      <c r="N15">
        <v>5238131</v>
      </c>
      <c r="O15">
        <v>349943</v>
      </c>
      <c r="P15">
        <v>9876496</v>
      </c>
    </row>
    <row r="16" spans="1:16" x14ac:dyDescent="0.25">
      <c r="A16" t="s">
        <v>14</v>
      </c>
      <c r="B16" t="s">
        <v>29</v>
      </c>
      <c r="C16">
        <v>2019</v>
      </c>
      <c r="D16">
        <v>0</v>
      </c>
      <c r="E16">
        <v>503536</v>
      </c>
      <c r="F16">
        <v>503536</v>
      </c>
      <c r="K16">
        <v>28143104</v>
      </c>
      <c r="L16">
        <v>-3749958</v>
      </c>
      <c r="M16">
        <v>-1251812</v>
      </c>
      <c r="N16">
        <v>5238131</v>
      </c>
      <c r="O16">
        <v>349943</v>
      </c>
      <c r="P16">
        <v>9876496</v>
      </c>
    </row>
    <row r="17" spans="1:19" x14ac:dyDescent="0.25">
      <c r="A17" t="s">
        <v>14</v>
      </c>
      <c r="B17" t="s">
        <v>30</v>
      </c>
      <c r="C17">
        <v>2019</v>
      </c>
      <c r="D17">
        <v>0</v>
      </c>
      <c r="E17">
        <v>0</v>
      </c>
      <c r="F17">
        <v>0</v>
      </c>
      <c r="K17">
        <v>28143104</v>
      </c>
      <c r="L17">
        <v>-3749958</v>
      </c>
      <c r="M17">
        <v>-1251812</v>
      </c>
      <c r="N17">
        <v>5238131</v>
      </c>
      <c r="O17">
        <v>349943</v>
      </c>
      <c r="P17">
        <v>9876496</v>
      </c>
    </row>
    <row r="18" spans="1:19" x14ac:dyDescent="0.25">
      <c r="A18" t="s">
        <v>14</v>
      </c>
      <c r="B18" t="s">
        <v>31</v>
      </c>
      <c r="C18">
        <v>2019</v>
      </c>
      <c r="D18">
        <v>0</v>
      </c>
      <c r="E18">
        <v>0</v>
      </c>
      <c r="F18">
        <v>0</v>
      </c>
      <c r="K18">
        <v>28143104</v>
      </c>
      <c r="L18">
        <v>-3749958</v>
      </c>
      <c r="M18">
        <v>-1251812</v>
      </c>
      <c r="N18">
        <v>5238131</v>
      </c>
      <c r="O18">
        <v>349943</v>
      </c>
      <c r="P18">
        <v>9876496</v>
      </c>
    </row>
    <row r="19" spans="1:19" x14ac:dyDescent="0.25">
      <c r="A19" t="s">
        <v>14</v>
      </c>
      <c r="B19" t="s">
        <v>32</v>
      </c>
      <c r="C19">
        <v>2019</v>
      </c>
      <c r="D19">
        <v>0</v>
      </c>
      <c r="E19">
        <v>0</v>
      </c>
      <c r="F19">
        <v>0</v>
      </c>
      <c r="K19">
        <v>28143104</v>
      </c>
      <c r="L19">
        <v>-3749958</v>
      </c>
      <c r="M19">
        <v>-1251812</v>
      </c>
      <c r="N19">
        <v>5238131</v>
      </c>
      <c r="O19">
        <v>349943</v>
      </c>
      <c r="P19">
        <v>9876496</v>
      </c>
    </row>
    <row r="20" spans="1:19" x14ac:dyDescent="0.25">
      <c r="A20" t="s">
        <v>14</v>
      </c>
      <c r="B20" t="s">
        <v>33</v>
      </c>
      <c r="C20">
        <v>2019</v>
      </c>
      <c r="D20">
        <v>0</v>
      </c>
      <c r="E20">
        <v>0</v>
      </c>
      <c r="F20">
        <v>0</v>
      </c>
      <c r="K20">
        <v>28143104</v>
      </c>
      <c r="L20">
        <v>-3749958</v>
      </c>
      <c r="M20">
        <v>-1251812</v>
      </c>
      <c r="N20">
        <v>5238131</v>
      </c>
      <c r="O20">
        <v>349943</v>
      </c>
      <c r="P20">
        <v>9876496</v>
      </c>
    </row>
    <row r="21" spans="1:19" x14ac:dyDescent="0.25">
      <c r="A21" t="s">
        <v>14</v>
      </c>
      <c r="B21" t="s">
        <v>34</v>
      </c>
      <c r="C21">
        <v>2019</v>
      </c>
      <c r="D21">
        <v>0</v>
      </c>
      <c r="E21">
        <v>0</v>
      </c>
      <c r="F21">
        <v>0</v>
      </c>
      <c r="K21">
        <v>28143104</v>
      </c>
      <c r="L21">
        <v>-3749958</v>
      </c>
      <c r="M21">
        <v>-1251812</v>
      </c>
      <c r="N21">
        <v>5238131</v>
      </c>
      <c r="O21">
        <v>349943</v>
      </c>
      <c r="P21">
        <v>9876496</v>
      </c>
    </row>
    <row r="22" spans="1:19" x14ac:dyDescent="0.25">
      <c r="A22" t="s">
        <v>14</v>
      </c>
      <c r="B22" t="s">
        <v>35</v>
      </c>
      <c r="C22">
        <v>2019</v>
      </c>
      <c r="D22">
        <v>0</v>
      </c>
      <c r="E22">
        <v>0</v>
      </c>
      <c r="F22">
        <v>0</v>
      </c>
      <c r="K22">
        <v>28143104</v>
      </c>
      <c r="L22">
        <v>-3749958</v>
      </c>
      <c r="M22">
        <v>-1251812</v>
      </c>
      <c r="N22">
        <v>5238131</v>
      </c>
      <c r="O22">
        <v>349943</v>
      </c>
      <c r="P22">
        <v>9876496</v>
      </c>
    </row>
    <row r="23" spans="1:19" x14ac:dyDescent="0.25">
      <c r="A23" t="s">
        <v>14</v>
      </c>
      <c r="B23" t="s">
        <v>36</v>
      </c>
      <c r="C23">
        <v>2019</v>
      </c>
      <c r="D23">
        <v>0</v>
      </c>
      <c r="E23">
        <v>0</v>
      </c>
      <c r="F23">
        <v>0</v>
      </c>
      <c r="K23">
        <v>28143104</v>
      </c>
      <c r="L23">
        <v>-3749958</v>
      </c>
      <c r="M23">
        <v>-1251812</v>
      </c>
      <c r="N23">
        <v>5238131</v>
      </c>
      <c r="O23">
        <v>349943</v>
      </c>
      <c r="P23">
        <v>9876496</v>
      </c>
    </row>
    <row r="24" spans="1:19" x14ac:dyDescent="0.25">
      <c r="A24" t="s">
        <v>14</v>
      </c>
      <c r="B24" t="s">
        <v>37</v>
      </c>
      <c r="C24">
        <v>2019</v>
      </c>
      <c r="D24">
        <v>0</v>
      </c>
      <c r="E24">
        <v>0</v>
      </c>
      <c r="F24">
        <v>0</v>
      </c>
      <c r="K24">
        <v>28143104</v>
      </c>
      <c r="L24">
        <v>-3749958</v>
      </c>
      <c r="M24">
        <v>-1251812</v>
      </c>
      <c r="N24">
        <v>5238131</v>
      </c>
      <c r="O24">
        <v>349943</v>
      </c>
      <c r="P24">
        <v>9876496</v>
      </c>
    </row>
    <row r="25" spans="1:19" x14ac:dyDescent="0.25">
      <c r="A25" t="s">
        <v>14</v>
      </c>
      <c r="B25" t="s">
        <v>38</v>
      </c>
      <c r="C25">
        <v>2019</v>
      </c>
      <c r="D25">
        <v>0</v>
      </c>
      <c r="E25">
        <v>0</v>
      </c>
      <c r="F25">
        <v>0</v>
      </c>
      <c r="K25">
        <v>28143104</v>
      </c>
      <c r="L25">
        <v>-3749958</v>
      </c>
      <c r="M25">
        <v>-1251812</v>
      </c>
      <c r="N25">
        <v>5238131</v>
      </c>
      <c r="O25">
        <v>349943</v>
      </c>
      <c r="P25">
        <v>9876496</v>
      </c>
    </row>
    <row r="26" spans="1:19" x14ac:dyDescent="0.25">
      <c r="A26" t="s">
        <v>14</v>
      </c>
      <c r="B26" t="s">
        <v>39</v>
      </c>
      <c r="C26">
        <v>2019</v>
      </c>
      <c r="D26">
        <v>0</v>
      </c>
      <c r="E26">
        <v>0</v>
      </c>
      <c r="F26">
        <v>0</v>
      </c>
      <c r="K26">
        <v>28143104</v>
      </c>
      <c r="L26">
        <v>-3749958</v>
      </c>
      <c r="M26">
        <v>-1251812</v>
      </c>
      <c r="N26">
        <v>5238131</v>
      </c>
      <c r="O26">
        <v>349943</v>
      </c>
      <c r="P26">
        <v>9876496</v>
      </c>
    </row>
    <row r="27" spans="1:19" x14ac:dyDescent="0.25">
      <c r="A27" t="s">
        <v>14</v>
      </c>
      <c r="B27" t="s">
        <v>40</v>
      </c>
      <c r="C27">
        <v>2019</v>
      </c>
      <c r="D27">
        <v>0</v>
      </c>
      <c r="E27">
        <v>0</v>
      </c>
      <c r="F27">
        <v>0</v>
      </c>
      <c r="K27">
        <v>28143104</v>
      </c>
      <c r="L27">
        <v>-3749958</v>
      </c>
      <c r="M27">
        <v>-1251812</v>
      </c>
      <c r="N27">
        <v>5238131</v>
      </c>
      <c r="O27">
        <v>349943</v>
      </c>
      <c r="P27">
        <v>9876496</v>
      </c>
    </row>
    <row r="28" spans="1:19" x14ac:dyDescent="0.25">
      <c r="A28" t="s">
        <v>14</v>
      </c>
      <c r="B28" t="s">
        <v>41</v>
      </c>
      <c r="C28">
        <v>2019</v>
      </c>
      <c r="D28">
        <v>0</v>
      </c>
      <c r="E28">
        <v>0</v>
      </c>
      <c r="F28">
        <v>0</v>
      </c>
      <c r="K28">
        <v>28143104</v>
      </c>
      <c r="L28">
        <v>-3749958</v>
      </c>
      <c r="M28">
        <v>-1251812</v>
      </c>
      <c r="N28">
        <v>5238131</v>
      </c>
      <c r="O28">
        <v>349943</v>
      </c>
      <c r="P28">
        <v>9876496</v>
      </c>
    </row>
    <row r="29" spans="1:19" x14ac:dyDescent="0.25">
      <c r="A29" t="s">
        <v>14</v>
      </c>
      <c r="B29" t="s">
        <v>42</v>
      </c>
      <c r="C29">
        <v>2019</v>
      </c>
      <c r="D29">
        <v>-2962840</v>
      </c>
      <c r="E29">
        <v>-787118</v>
      </c>
      <c r="F29">
        <v>-3749958</v>
      </c>
      <c r="H29">
        <v>349943</v>
      </c>
      <c r="I29">
        <v>620264</v>
      </c>
      <c r="K29">
        <v>28143104</v>
      </c>
      <c r="L29">
        <v>-3749958</v>
      </c>
      <c r="M29">
        <v>-1251812</v>
      </c>
      <c r="N29">
        <v>5238131</v>
      </c>
      <c r="O29">
        <v>349943</v>
      </c>
      <c r="P29">
        <v>9876496</v>
      </c>
    </row>
    <row r="30" spans="1:19" x14ac:dyDescent="0.25">
      <c r="A30" t="s">
        <v>14</v>
      </c>
      <c r="B30" t="s">
        <v>43</v>
      </c>
      <c r="C30">
        <v>2019</v>
      </c>
      <c r="D30">
        <v>-1198836</v>
      </c>
      <c r="E30">
        <v>-52976</v>
      </c>
      <c r="F30">
        <v>-1251812</v>
      </c>
      <c r="K30">
        <v>28143104</v>
      </c>
      <c r="L30">
        <v>-3749958</v>
      </c>
      <c r="M30">
        <v>-1251812</v>
      </c>
      <c r="N30">
        <v>5238131</v>
      </c>
      <c r="O30">
        <v>349943</v>
      </c>
      <c r="P30">
        <v>9876496</v>
      </c>
    </row>
    <row r="31" spans="1:19" x14ac:dyDescent="0.25">
      <c r="A31" t="s">
        <v>14</v>
      </c>
      <c r="B31" t="s">
        <v>44</v>
      </c>
      <c r="C31">
        <v>2019</v>
      </c>
      <c r="D31">
        <v>23482138</v>
      </c>
      <c r="E31">
        <v>4660966</v>
      </c>
      <c r="F31">
        <v>28143104</v>
      </c>
      <c r="K31">
        <v>28143104</v>
      </c>
      <c r="L31">
        <v>-3749958</v>
      </c>
      <c r="M31">
        <v>-1251812</v>
      </c>
      <c r="N31">
        <v>5238131</v>
      </c>
      <c r="O31">
        <v>349943</v>
      </c>
      <c r="P31">
        <v>9876496</v>
      </c>
      <c r="R31" s="1">
        <f>F31/K31</f>
        <v>1</v>
      </c>
      <c r="S31" s="2">
        <f>R31*N31</f>
        <v>5238131</v>
      </c>
    </row>
    <row r="32" spans="1:19" x14ac:dyDescent="0.25">
      <c r="A32" t="s">
        <v>14</v>
      </c>
      <c r="B32" t="s">
        <v>45</v>
      </c>
      <c r="C32">
        <v>2019</v>
      </c>
      <c r="D32">
        <v>14111986</v>
      </c>
      <c r="E32">
        <v>3041227</v>
      </c>
      <c r="F32">
        <v>17153213</v>
      </c>
      <c r="K32">
        <v>28143104</v>
      </c>
      <c r="L32">
        <v>-3749958</v>
      </c>
      <c r="M32">
        <v>-1251812</v>
      </c>
      <c r="N32">
        <v>5238131</v>
      </c>
      <c r="O32">
        <v>349943</v>
      </c>
      <c r="P32">
        <v>9876496</v>
      </c>
      <c r="R32" s="1">
        <f>F32/K32</f>
        <v>0.60949968418551126</v>
      </c>
      <c r="S32" s="2">
        <f t="shared" ref="S32:S60" si="0">R32*N32</f>
        <v>3192639.1902223364</v>
      </c>
    </row>
    <row r="33" spans="1:19" x14ac:dyDescent="0.25">
      <c r="A33" t="s">
        <v>14</v>
      </c>
      <c r="B33" t="s">
        <v>46</v>
      </c>
      <c r="C33">
        <v>2019</v>
      </c>
      <c r="D33">
        <v>473663</v>
      </c>
      <c r="E33">
        <v>26879</v>
      </c>
      <c r="F33">
        <v>500542</v>
      </c>
      <c r="H33">
        <v>33552</v>
      </c>
      <c r="I33">
        <v>126387</v>
      </c>
      <c r="K33">
        <v>28143104</v>
      </c>
      <c r="L33">
        <v>-3749958</v>
      </c>
      <c r="M33">
        <v>-1251812</v>
      </c>
      <c r="N33">
        <v>5238131</v>
      </c>
      <c r="O33">
        <v>349943</v>
      </c>
      <c r="P33">
        <v>9876496</v>
      </c>
      <c r="R33" s="1">
        <f t="shared" ref="R33:R60" si="1">F33/K33</f>
        <v>1.7785600337475213E-2</v>
      </c>
      <c r="S33" s="2">
        <f t="shared" si="0"/>
        <v>93163.304481339379</v>
      </c>
    </row>
    <row r="34" spans="1:19" x14ac:dyDescent="0.25">
      <c r="A34" t="s">
        <v>14</v>
      </c>
      <c r="B34" t="s">
        <v>47</v>
      </c>
      <c r="C34">
        <v>2019</v>
      </c>
      <c r="D34">
        <v>356828</v>
      </c>
      <c r="E34">
        <v>23002</v>
      </c>
      <c r="F34">
        <v>379830</v>
      </c>
      <c r="H34">
        <v>35191</v>
      </c>
      <c r="I34">
        <v>105430</v>
      </c>
      <c r="K34">
        <v>28143104</v>
      </c>
      <c r="L34">
        <v>-3749958</v>
      </c>
      <c r="M34">
        <v>-1251812</v>
      </c>
      <c r="N34">
        <v>5238131</v>
      </c>
      <c r="O34">
        <v>349943</v>
      </c>
      <c r="P34">
        <v>9876496</v>
      </c>
      <c r="R34" s="1">
        <f t="shared" si="1"/>
        <v>1.3496379077446469E-2</v>
      </c>
      <c r="S34" s="2">
        <f t="shared" si="0"/>
        <v>70695.801633323747</v>
      </c>
    </row>
    <row r="35" spans="1:19" x14ac:dyDescent="0.25">
      <c r="A35" t="s">
        <v>14</v>
      </c>
      <c r="B35" t="s">
        <v>48</v>
      </c>
      <c r="C35">
        <v>2019</v>
      </c>
      <c r="D35">
        <v>12479760</v>
      </c>
      <c r="E35">
        <v>2957626</v>
      </c>
      <c r="F35">
        <v>15437386</v>
      </c>
      <c r="H35">
        <v>2449176</v>
      </c>
      <c r="I35">
        <v>0</v>
      </c>
      <c r="K35">
        <v>28143104</v>
      </c>
      <c r="L35">
        <v>-3749958</v>
      </c>
      <c r="M35">
        <v>-1251812</v>
      </c>
      <c r="N35">
        <v>5238131</v>
      </c>
      <c r="O35">
        <v>349943</v>
      </c>
      <c r="P35">
        <v>9876496</v>
      </c>
      <c r="R35" s="1">
        <f t="shared" si="1"/>
        <v>0.54853174688904249</v>
      </c>
      <c r="S35" s="2">
        <f t="shared" si="0"/>
        <v>2873281.147863647</v>
      </c>
    </row>
    <row r="36" spans="1:19" x14ac:dyDescent="0.25">
      <c r="A36" t="s">
        <v>14</v>
      </c>
      <c r="B36" t="s">
        <v>49</v>
      </c>
      <c r="C36">
        <v>2019</v>
      </c>
      <c r="D36">
        <v>2325485</v>
      </c>
      <c r="E36">
        <v>194727</v>
      </c>
      <c r="F36">
        <v>2520212</v>
      </c>
      <c r="H36">
        <v>1289208</v>
      </c>
      <c r="I36">
        <v>1751880</v>
      </c>
      <c r="K36">
        <v>28143104</v>
      </c>
      <c r="L36">
        <v>-3749958</v>
      </c>
      <c r="M36">
        <v>-1251812</v>
      </c>
      <c r="N36">
        <v>5238131</v>
      </c>
      <c r="O36">
        <v>349943</v>
      </c>
      <c r="P36">
        <v>9876496</v>
      </c>
      <c r="R36" s="1">
        <f t="shared" si="1"/>
        <v>8.9549894709553005E-2</v>
      </c>
      <c r="S36" s="2">
        <f t="shared" si="0"/>
        <v>469074.07952484558</v>
      </c>
    </row>
    <row r="37" spans="1:19" x14ac:dyDescent="0.25">
      <c r="A37" t="s">
        <v>14</v>
      </c>
      <c r="B37" t="s">
        <v>50</v>
      </c>
      <c r="C37">
        <v>2019</v>
      </c>
      <c r="D37">
        <v>2264486</v>
      </c>
      <c r="E37">
        <v>1668860</v>
      </c>
      <c r="F37">
        <v>3933346</v>
      </c>
      <c r="H37">
        <v>356814</v>
      </c>
      <c r="I37">
        <v>969766</v>
      </c>
      <c r="K37">
        <v>28143104</v>
      </c>
      <c r="L37">
        <v>-3749958</v>
      </c>
      <c r="M37">
        <v>-1251812</v>
      </c>
      <c r="N37">
        <v>5238131</v>
      </c>
      <c r="O37">
        <v>349943</v>
      </c>
      <c r="P37">
        <v>9876496</v>
      </c>
      <c r="R37" s="1">
        <f t="shared" si="1"/>
        <v>0.13976233751614606</v>
      </c>
      <c r="S37" s="2">
        <f t="shared" si="0"/>
        <v>732093.43277578766</v>
      </c>
    </row>
    <row r="38" spans="1:19" x14ac:dyDescent="0.25">
      <c r="A38" t="s">
        <v>14</v>
      </c>
      <c r="B38" t="s">
        <v>51</v>
      </c>
      <c r="C38">
        <v>2019</v>
      </c>
      <c r="D38">
        <v>2402521</v>
      </c>
      <c r="E38">
        <v>218580</v>
      </c>
      <c r="F38">
        <v>2621101</v>
      </c>
      <c r="H38">
        <v>77415</v>
      </c>
      <c r="I38">
        <v>557325</v>
      </c>
      <c r="K38">
        <v>28143104</v>
      </c>
      <c r="L38">
        <v>-3749958</v>
      </c>
      <c r="M38">
        <v>-1251812</v>
      </c>
      <c r="N38">
        <v>5238131</v>
      </c>
      <c r="O38">
        <v>349943</v>
      </c>
      <c r="P38">
        <v>9876496</v>
      </c>
      <c r="R38" s="1">
        <f t="shared" si="1"/>
        <v>9.3134751589590115E-2</v>
      </c>
      <c r="S38" s="2">
        <f t="shared" si="0"/>
        <v>487852.02947873127</v>
      </c>
    </row>
    <row r="39" spans="1:19" x14ac:dyDescent="0.25">
      <c r="A39" t="s">
        <v>14</v>
      </c>
      <c r="B39" t="s">
        <v>52</v>
      </c>
      <c r="C39">
        <v>2019</v>
      </c>
      <c r="D39">
        <v>1353830</v>
      </c>
      <c r="E39">
        <v>25186</v>
      </c>
      <c r="F39">
        <v>1379016</v>
      </c>
      <c r="H39">
        <v>543645</v>
      </c>
      <c r="I39">
        <v>803318</v>
      </c>
      <c r="K39">
        <v>28143104</v>
      </c>
      <c r="L39">
        <v>-3749958</v>
      </c>
      <c r="M39">
        <v>-1251812</v>
      </c>
      <c r="N39">
        <v>5238131</v>
      </c>
      <c r="O39">
        <v>349943</v>
      </c>
      <c r="P39">
        <v>9876496</v>
      </c>
      <c r="R39" s="1">
        <f t="shared" si="1"/>
        <v>4.9000138719595396E-2</v>
      </c>
      <c r="S39" s="2">
        <f t="shared" si="0"/>
        <v>256669.14563141295</v>
      </c>
    </row>
    <row r="40" spans="1:19" x14ac:dyDescent="0.25">
      <c r="A40" t="s">
        <v>14</v>
      </c>
      <c r="B40" t="s">
        <v>53</v>
      </c>
      <c r="C40">
        <v>2019</v>
      </c>
      <c r="D40">
        <v>431132</v>
      </c>
      <c r="E40">
        <v>36492</v>
      </c>
      <c r="F40">
        <v>467624</v>
      </c>
      <c r="H40">
        <v>12004</v>
      </c>
      <c r="I40">
        <v>97824</v>
      </c>
      <c r="K40">
        <v>28143104</v>
      </c>
      <c r="L40">
        <v>-3749958</v>
      </c>
      <c r="M40">
        <v>-1251812</v>
      </c>
      <c r="N40">
        <v>5238131</v>
      </c>
      <c r="O40">
        <v>349943</v>
      </c>
      <c r="P40">
        <v>9876496</v>
      </c>
      <c r="R40" s="1">
        <f t="shared" si="1"/>
        <v>1.6615935470373135E-2</v>
      </c>
      <c r="S40" s="2">
        <f t="shared" si="0"/>
        <v>87036.446681361092</v>
      </c>
    </row>
    <row r="41" spans="1:19" x14ac:dyDescent="0.25">
      <c r="A41" t="s">
        <v>14</v>
      </c>
      <c r="B41" t="s">
        <v>54</v>
      </c>
      <c r="C41">
        <v>2019</v>
      </c>
      <c r="D41">
        <v>1994202</v>
      </c>
      <c r="E41">
        <v>49096</v>
      </c>
      <c r="F41">
        <v>2043298</v>
      </c>
      <c r="H41">
        <v>58858</v>
      </c>
      <c r="I41">
        <v>442675</v>
      </c>
      <c r="K41">
        <v>28143104</v>
      </c>
      <c r="L41">
        <v>-3749958</v>
      </c>
      <c r="M41">
        <v>-1251812</v>
      </c>
      <c r="N41">
        <v>5238131</v>
      </c>
      <c r="O41">
        <v>349943</v>
      </c>
      <c r="P41">
        <v>9876496</v>
      </c>
      <c r="R41" s="1">
        <f t="shared" si="1"/>
        <v>7.2603860611821641E-2</v>
      </c>
      <c r="S41" s="2">
        <f t="shared" si="0"/>
        <v>380308.53299046191</v>
      </c>
    </row>
    <row r="42" spans="1:19" x14ac:dyDescent="0.25">
      <c r="A42" t="s">
        <v>14</v>
      </c>
      <c r="B42" t="s">
        <v>55</v>
      </c>
      <c r="C42">
        <v>2019</v>
      </c>
      <c r="D42">
        <v>477302</v>
      </c>
      <c r="E42">
        <v>206322</v>
      </c>
      <c r="F42">
        <v>683624</v>
      </c>
      <c r="H42">
        <v>67709</v>
      </c>
      <c r="I42">
        <v>180937</v>
      </c>
      <c r="K42">
        <v>28143104</v>
      </c>
      <c r="L42">
        <v>-3749958</v>
      </c>
      <c r="M42">
        <v>-1251812</v>
      </c>
      <c r="N42">
        <v>5238131</v>
      </c>
      <c r="O42">
        <v>349943</v>
      </c>
      <c r="P42">
        <v>9876496</v>
      </c>
      <c r="R42" s="1">
        <f t="shared" si="1"/>
        <v>2.4290995051576399E-2</v>
      </c>
      <c r="S42" s="2">
        <f t="shared" si="0"/>
        <v>127239.41420050894</v>
      </c>
    </row>
    <row r="43" spans="1:19" x14ac:dyDescent="0.25">
      <c r="A43" t="s">
        <v>14</v>
      </c>
      <c r="B43" t="s">
        <v>56</v>
      </c>
      <c r="C43">
        <v>2019</v>
      </c>
      <c r="D43">
        <v>315238</v>
      </c>
      <c r="E43">
        <v>219048</v>
      </c>
      <c r="F43">
        <v>534286</v>
      </c>
      <c r="H43">
        <v>20670</v>
      </c>
      <c r="I43">
        <v>104541</v>
      </c>
      <c r="K43">
        <v>28143104</v>
      </c>
      <c r="L43">
        <v>-3749958</v>
      </c>
      <c r="M43">
        <v>-1251812</v>
      </c>
      <c r="N43">
        <v>5238131</v>
      </c>
      <c r="O43">
        <v>349943</v>
      </c>
      <c r="P43">
        <v>9876496</v>
      </c>
      <c r="R43" s="1">
        <f t="shared" si="1"/>
        <v>1.8984615200938745E-2</v>
      </c>
      <c r="S43" s="2">
        <f t="shared" si="0"/>
        <v>99443.901407108468</v>
      </c>
    </row>
    <row r="44" spans="1:19" x14ac:dyDescent="0.25">
      <c r="A44" t="s">
        <v>14</v>
      </c>
      <c r="B44" t="s">
        <v>57</v>
      </c>
      <c r="C44">
        <v>2019</v>
      </c>
      <c r="D44">
        <v>142085</v>
      </c>
      <c r="E44">
        <v>7326</v>
      </c>
      <c r="F44">
        <v>149411</v>
      </c>
      <c r="H44">
        <v>2294</v>
      </c>
      <c r="I44">
        <v>30061</v>
      </c>
      <c r="K44">
        <v>28143104</v>
      </c>
      <c r="L44">
        <v>-3749958</v>
      </c>
      <c r="M44">
        <v>-1251812</v>
      </c>
      <c r="N44">
        <v>5238131</v>
      </c>
      <c r="O44">
        <v>349943</v>
      </c>
      <c r="P44">
        <v>9876496</v>
      </c>
      <c r="R44" s="1">
        <f t="shared" si="1"/>
        <v>5.3089737365146364E-3</v>
      </c>
      <c r="S44" s="2">
        <f t="shared" si="0"/>
        <v>27809.099907423148</v>
      </c>
    </row>
    <row r="45" spans="1:19" x14ac:dyDescent="0.25">
      <c r="A45" t="s">
        <v>14</v>
      </c>
      <c r="B45" t="s">
        <v>58</v>
      </c>
      <c r="C45">
        <v>2019</v>
      </c>
      <c r="D45">
        <v>773478</v>
      </c>
      <c r="E45">
        <v>331987</v>
      </c>
      <c r="F45">
        <v>1105465</v>
      </c>
      <c r="H45">
        <v>20559</v>
      </c>
      <c r="I45">
        <v>203788</v>
      </c>
      <c r="K45">
        <v>28143104</v>
      </c>
      <c r="L45">
        <v>-3749958</v>
      </c>
      <c r="M45">
        <v>-1251812</v>
      </c>
      <c r="N45">
        <v>5238131</v>
      </c>
      <c r="O45">
        <v>349943</v>
      </c>
      <c r="P45">
        <v>9876496</v>
      </c>
      <c r="R45" s="1">
        <f t="shared" si="1"/>
        <v>3.9280137684883656E-2</v>
      </c>
      <c r="S45" s="2">
        <f t="shared" si="0"/>
        <v>205754.50689145731</v>
      </c>
    </row>
    <row r="46" spans="1:19" x14ac:dyDescent="0.25">
      <c r="A46" t="s">
        <v>14</v>
      </c>
      <c r="B46" t="s">
        <v>59</v>
      </c>
      <c r="C46">
        <v>2019</v>
      </c>
      <c r="D46">
        <v>801734</v>
      </c>
      <c r="E46">
        <v>33720</v>
      </c>
      <c r="F46">
        <v>835454</v>
      </c>
      <c r="H46">
        <v>256605</v>
      </c>
      <c r="I46">
        <v>412447</v>
      </c>
      <c r="K46">
        <v>28143104</v>
      </c>
      <c r="L46">
        <v>-3749958</v>
      </c>
      <c r="M46">
        <v>-1251812</v>
      </c>
      <c r="N46">
        <v>5238131</v>
      </c>
      <c r="O46">
        <v>349943</v>
      </c>
      <c r="P46">
        <v>9876496</v>
      </c>
      <c r="R46" s="1">
        <f t="shared" si="1"/>
        <v>2.9685922348863865E-2</v>
      </c>
      <c r="S46" s="2">
        <f t="shared" si="0"/>
        <v>155498.75011917664</v>
      </c>
    </row>
    <row r="47" spans="1:19" x14ac:dyDescent="0.25">
      <c r="A47" t="s">
        <v>14</v>
      </c>
      <c r="B47" t="s">
        <v>60</v>
      </c>
      <c r="C47">
        <v>2019</v>
      </c>
      <c r="D47">
        <v>596455</v>
      </c>
      <c r="E47">
        <v>0</v>
      </c>
      <c r="F47">
        <v>596455</v>
      </c>
      <c r="H47">
        <v>901419</v>
      </c>
      <c r="I47">
        <v>1014605</v>
      </c>
      <c r="K47">
        <v>28143104</v>
      </c>
      <c r="L47">
        <v>-3749958</v>
      </c>
      <c r="M47">
        <v>-1251812</v>
      </c>
      <c r="N47">
        <v>5238131</v>
      </c>
      <c r="O47">
        <v>349943</v>
      </c>
      <c r="P47">
        <v>9876496</v>
      </c>
      <c r="R47" s="1">
        <f t="shared" si="1"/>
        <v>2.1193646585678679E-2</v>
      </c>
      <c r="S47" s="2">
        <f t="shared" si="0"/>
        <v>111015.09718348764</v>
      </c>
    </row>
    <row r="48" spans="1:19" x14ac:dyDescent="0.25">
      <c r="A48" t="s">
        <v>14</v>
      </c>
      <c r="B48" t="s">
        <v>61</v>
      </c>
      <c r="C48">
        <v>2019</v>
      </c>
      <c r="F48">
        <v>0</v>
      </c>
      <c r="K48">
        <v>28143104</v>
      </c>
      <c r="L48">
        <v>-3749958</v>
      </c>
      <c r="M48">
        <v>-1251812</v>
      </c>
      <c r="N48">
        <v>5238131</v>
      </c>
      <c r="O48">
        <v>349943</v>
      </c>
      <c r="P48">
        <v>9876496</v>
      </c>
      <c r="R48" s="1">
        <f t="shared" si="1"/>
        <v>0</v>
      </c>
      <c r="S48" s="2">
        <f t="shared" si="0"/>
        <v>0</v>
      </c>
    </row>
    <row r="49" spans="1:19" x14ac:dyDescent="0.25">
      <c r="A49" t="s">
        <v>14</v>
      </c>
      <c r="B49" t="s">
        <v>62</v>
      </c>
      <c r="C49">
        <v>2019</v>
      </c>
      <c r="D49">
        <v>0</v>
      </c>
      <c r="E49">
        <v>0</v>
      </c>
      <c r="F49">
        <v>0</v>
      </c>
      <c r="K49">
        <v>28143104</v>
      </c>
      <c r="L49">
        <v>-3749958</v>
      </c>
      <c r="M49">
        <v>-1251812</v>
      </c>
      <c r="N49">
        <v>5238131</v>
      </c>
      <c r="O49">
        <v>349943</v>
      </c>
      <c r="P49">
        <v>9876496</v>
      </c>
      <c r="R49" s="1">
        <f t="shared" si="1"/>
        <v>0</v>
      </c>
      <c r="S49" s="2">
        <f t="shared" si="0"/>
        <v>0</v>
      </c>
    </row>
    <row r="50" spans="1:19" x14ac:dyDescent="0.25">
      <c r="A50" t="s">
        <v>14</v>
      </c>
      <c r="B50" t="s">
        <v>63</v>
      </c>
      <c r="C50">
        <v>2019</v>
      </c>
      <c r="D50">
        <v>245363</v>
      </c>
      <c r="E50">
        <v>0</v>
      </c>
      <c r="F50">
        <v>245363</v>
      </c>
      <c r="H50">
        <v>727970</v>
      </c>
      <c r="I50">
        <v>774531</v>
      </c>
      <c r="K50">
        <v>28143104</v>
      </c>
      <c r="L50">
        <v>-3749958</v>
      </c>
      <c r="M50">
        <v>-1251812</v>
      </c>
      <c r="N50">
        <v>5238131</v>
      </c>
      <c r="O50">
        <v>349943</v>
      </c>
      <c r="P50">
        <v>9876496</v>
      </c>
      <c r="R50" s="1">
        <f t="shared" si="1"/>
        <v>8.7184057593647103E-3</v>
      </c>
      <c r="S50" s="2">
        <f t="shared" si="0"/>
        <v>45668.15147870683</v>
      </c>
    </row>
    <row r="51" spans="1:19" x14ac:dyDescent="0.25">
      <c r="A51" t="s">
        <v>14</v>
      </c>
      <c r="B51" t="s">
        <v>64</v>
      </c>
      <c r="C51">
        <v>2019</v>
      </c>
      <c r="D51">
        <v>351092</v>
      </c>
      <c r="E51">
        <v>0</v>
      </c>
      <c r="F51">
        <v>351092</v>
      </c>
      <c r="H51">
        <v>8456</v>
      </c>
      <c r="I51">
        <v>75081</v>
      </c>
      <c r="K51">
        <v>28143104</v>
      </c>
      <c r="L51">
        <v>-3749958</v>
      </c>
      <c r="M51">
        <v>-1251812</v>
      </c>
      <c r="N51">
        <v>5238131</v>
      </c>
      <c r="O51">
        <v>349943</v>
      </c>
      <c r="P51">
        <v>9876496</v>
      </c>
      <c r="R51" s="1">
        <f t="shared" si="1"/>
        <v>1.2475240826313971E-2</v>
      </c>
      <c r="S51" s="2">
        <f t="shared" si="0"/>
        <v>65346.945704780825</v>
      </c>
    </row>
    <row r="52" spans="1:19" x14ac:dyDescent="0.25">
      <c r="A52" t="s">
        <v>14</v>
      </c>
      <c r="B52" t="s">
        <v>65</v>
      </c>
      <c r="C52">
        <v>2019</v>
      </c>
      <c r="D52">
        <v>0</v>
      </c>
      <c r="E52">
        <v>0</v>
      </c>
      <c r="F52">
        <v>0</v>
      </c>
      <c r="K52">
        <v>28143104</v>
      </c>
      <c r="L52">
        <v>-3749958</v>
      </c>
      <c r="M52">
        <v>-1251812</v>
      </c>
      <c r="N52">
        <v>5238131</v>
      </c>
      <c r="O52">
        <v>349943</v>
      </c>
      <c r="P52">
        <v>9876496</v>
      </c>
      <c r="R52" s="1">
        <f t="shared" si="1"/>
        <v>0</v>
      </c>
      <c r="S52" s="2">
        <f t="shared" si="0"/>
        <v>0</v>
      </c>
    </row>
    <row r="53" spans="1:19" x14ac:dyDescent="0.25">
      <c r="A53" t="s">
        <v>14</v>
      </c>
      <c r="B53" t="s">
        <v>66</v>
      </c>
      <c r="C53">
        <v>2019</v>
      </c>
      <c r="F53">
        <v>0</v>
      </c>
      <c r="K53">
        <v>28143104</v>
      </c>
      <c r="L53">
        <v>-3749958</v>
      </c>
      <c r="M53">
        <v>-1251812</v>
      </c>
      <c r="N53">
        <v>5238131</v>
      </c>
      <c r="O53">
        <v>349943</v>
      </c>
      <c r="P53">
        <v>9876496</v>
      </c>
      <c r="R53" s="1">
        <f t="shared" si="1"/>
        <v>0</v>
      </c>
      <c r="S53" s="2">
        <f t="shared" si="0"/>
        <v>0</v>
      </c>
    </row>
    <row r="54" spans="1:19" x14ac:dyDescent="0.25">
      <c r="A54" t="s">
        <v>14</v>
      </c>
      <c r="B54" t="s">
        <v>67</v>
      </c>
      <c r="C54">
        <v>2019</v>
      </c>
      <c r="D54">
        <v>0</v>
      </c>
      <c r="E54">
        <v>0</v>
      </c>
      <c r="F54">
        <v>0</v>
      </c>
      <c r="K54">
        <v>28143104</v>
      </c>
      <c r="L54">
        <v>-3749958</v>
      </c>
      <c r="M54">
        <v>-1251812</v>
      </c>
      <c r="N54">
        <v>5238131</v>
      </c>
      <c r="O54">
        <v>349943</v>
      </c>
      <c r="P54">
        <v>9876496</v>
      </c>
      <c r="R54" s="1">
        <f t="shared" si="1"/>
        <v>0</v>
      </c>
      <c r="S54" s="2">
        <f t="shared" si="0"/>
        <v>0</v>
      </c>
    </row>
    <row r="55" spans="1:19" x14ac:dyDescent="0.25">
      <c r="A55" t="s">
        <v>14</v>
      </c>
      <c r="B55" t="s">
        <v>68</v>
      </c>
      <c r="C55">
        <v>2019</v>
      </c>
      <c r="D55">
        <v>0</v>
      </c>
      <c r="E55">
        <v>0</v>
      </c>
      <c r="F55">
        <v>0</v>
      </c>
      <c r="K55">
        <v>28143104</v>
      </c>
      <c r="L55">
        <v>-3749958</v>
      </c>
      <c r="M55">
        <v>-1251812</v>
      </c>
      <c r="N55">
        <v>5238131</v>
      </c>
      <c r="O55">
        <v>349943</v>
      </c>
      <c r="P55">
        <v>9876496</v>
      </c>
      <c r="R55" s="1">
        <f t="shared" si="1"/>
        <v>0</v>
      </c>
      <c r="S55" s="2">
        <f t="shared" si="0"/>
        <v>0</v>
      </c>
    </row>
    <row r="56" spans="1:19" x14ac:dyDescent="0.25">
      <c r="A56" t="s">
        <v>14</v>
      </c>
      <c r="B56" t="s">
        <v>69</v>
      </c>
      <c r="C56">
        <v>2019</v>
      </c>
      <c r="D56">
        <v>3829396</v>
      </c>
      <c r="E56">
        <v>1288321</v>
      </c>
      <c r="F56">
        <v>5117717</v>
      </c>
      <c r="H56">
        <v>332073</v>
      </c>
      <c r="I56">
        <v>1200206</v>
      </c>
      <c r="K56">
        <v>28143104</v>
      </c>
      <c r="L56">
        <v>-3749958</v>
      </c>
      <c r="M56">
        <v>-1251812</v>
      </c>
      <c r="N56">
        <v>5238131</v>
      </c>
      <c r="O56">
        <v>349943</v>
      </c>
      <c r="P56">
        <v>9876496</v>
      </c>
      <c r="R56" s="1">
        <f t="shared" si="1"/>
        <v>0.18184621710526316</v>
      </c>
      <c r="S56" s="2">
        <f t="shared" si="0"/>
        <v>952534.30705180927</v>
      </c>
    </row>
    <row r="57" spans="1:19" x14ac:dyDescent="0.25">
      <c r="A57" t="s">
        <v>14</v>
      </c>
      <c r="B57" t="s">
        <v>70</v>
      </c>
      <c r="C57">
        <v>2019</v>
      </c>
      <c r="D57">
        <v>1646821</v>
      </c>
      <c r="E57">
        <v>138473</v>
      </c>
      <c r="F57">
        <v>1785294</v>
      </c>
      <c r="H57">
        <v>121655</v>
      </c>
      <c r="I57">
        <v>449365</v>
      </c>
      <c r="K57">
        <v>28143104</v>
      </c>
      <c r="L57">
        <v>-3749958</v>
      </c>
      <c r="M57">
        <v>-1251812</v>
      </c>
      <c r="N57">
        <v>5238131</v>
      </c>
      <c r="O57">
        <v>349943</v>
      </c>
      <c r="P57">
        <v>9876496</v>
      </c>
      <c r="R57" s="1">
        <f t="shared" si="1"/>
        <v>6.3436286203540304E-2</v>
      </c>
      <c r="S57" s="2">
        <f t="shared" si="0"/>
        <v>332287.57728763676</v>
      </c>
    </row>
    <row r="58" spans="1:19" x14ac:dyDescent="0.25">
      <c r="A58" t="s">
        <v>14</v>
      </c>
      <c r="B58" t="s">
        <v>71</v>
      </c>
      <c r="C58">
        <v>2019</v>
      </c>
      <c r="D58">
        <v>481032</v>
      </c>
      <c r="E58">
        <v>699</v>
      </c>
      <c r="F58">
        <v>481731</v>
      </c>
      <c r="H58">
        <v>101083</v>
      </c>
      <c r="I58">
        <v>192442</v>
      </c>
      <c r="K58">
        <v>28143104</v>
      </c>
      <c r="L58">
        <v>-3749958</v>
      </c>
      <c r="M58">
        <v>-1251812</v>
      </c>
      <c r="N58">
        <v>5238131</v>
      </c>
      <c r="O58">
        <v>349943</v>
      </c>
      <c r="P58">
        <v>9876496</v>
      </c>
      <c r="R58" s="1">
        <f t="shared" si="1"/>
        <v>1.7117195032928849E-2</v>
      </c>
      <c r="S58" s="2">
        <f t="shared" si="0"/>
        <v>89662.109935030618</v>
      </c>
    </row>
    <row r="59" spans="1:19" x14ac:dyDescent="0.25">
      <c r="A59" t="s">
        <v>14</v>
      </c>
      <c r="B59" t="s">
        <v>72</v>
      </c>
      <c r="C59">
        <v>2019</v>
      </c>
      <c r="D59">
        <v>0</v>
      </c>
      <c r="E59">
        <v>0</v>
      </c>
      <c r="F59">
        <v>0</v>
      </c>
      <c r="H59">
        <v>0</v>
      </c>
      <c r="I59">
        <v>0</v>
      </c>
      <c r="K59">
        <v>28143104</v>
      </c>
      <c r="L59">
        <v>-3749958</v>
      </c>
      <c r="M59">
        <v>-1251812</v>
      </c>
      <c r="N59">
        <v>5238131</v>
      </c>
      <c r="O59">
        <v>349943</v>
      </c>
      <c r="P59">
        <v>9876496</v>
      </c>
      <c r="R59" s="1">
        <f t="shared" si="1"/>
        <v>0</v>
      </c>
      <c r="S59" s="2">
        <f t="shared" si="0"/>
        <v>0</v>
      </c>
    </row>
    <row r="60" spans="1:19" x14ac:dyDescent="0.25">
      <c r="A60" t="s">
        <v>14</v>
      </c>
      <c r="B60" t="s">
        <v>73</v>
      </c>
      <c r="C60">
        <v>2019</v>
      </c>
      <c r="D60">
        <v>2816449</v>
      </c>
      <c r="E60">
        <v>192246</v>
      </c>
      <c r="F60">
        <v>3008695</v>
      </c>
      <c r="H60">
        <v>57667</v>
      </c>
      <c r="I60">
        <v>613234</v>
      </c>
      <c r="K60">
        <v>28143104</v>
      </c>
      <c r="L60">
        <v>-3749958</v>
      </c>
      <c r="M60">
        <v>-1251812</v>
      </c>
      <c r="N60">
        <v>5238131</v>
      </c>
      <c r="O60">
        <v>349943</v>
      </c>
      <c r="P60">
        <v>9876496</v>
      </c>
      <c r="R60" s="1">
        <f t="shared" si="1"/>
        <v>0.10690700641976095</v>
      </c>
      <c r="S60" s="2">
        <f t="shared" si="0"/>
        <v>559992.90444454888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lamw</dc:creator>
  <cp:lastModifiedBy>William Lamb</cp:lastModifiedBy>
  <dcterms:created xsi:type="dcterms:W3CDTF">2025-04-16T12:02:08Z</dcterms:created>
  <dcterms:modified xsi:type="dcterms:W3CDTF">2025-04-16T12:05:06Z</dcterms:modified>
</cp:coreProperties>
</file>