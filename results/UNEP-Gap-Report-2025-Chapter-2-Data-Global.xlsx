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amw\Nextcloud\Projects\UNEP-Gap-Report-2025-Chapter-2\results\"/>
    </mc:Choice>
  </mc:AlternateContent>
  <bookViews>
    <workbookView xWindow="0" yWindow="0" windowWidth="13125" windowHeight="6105" activeTab="1"/>
  </bookViews>
  <sheets>
    <sheet name="table_1" sheetId="1" r:id="rId1"/>
    <sheet name="total_by_gas" sheetId="2" r:id="rId2"/>
    <sheet name="total_by_sector" sheetId="3" r:id="rId3"/>
  </sheets>
  <calcPr calcId="162913"/>
</workbook>
</file>

<file path=xl/calcChain.xml><?xml version="1.0" encoding="utf-8"?>
<calcChain xmlns="http://schemas.openxmlformats.org/spreadsheetml/2006/main">
  <c r="AM7" i="2" l="1"/>
  <c r="AM6" i="2"/>
  <c r="AM5" i="2"/>
  <c r="AM4" i="2"/>
  <c r="AM3" i="2"/>
</calcChain>
</file>

<file path=xl/sharedStrings.xml><?xml version="1.0" encoding="utf-8"?>
<sst xmlns="http://schemas.openxmlformats.org/spreadsheetml/2006/main" count="206" uniqueCount="126">
  <si>
    <t>gas</t>
  </si>
  <si>
    <t>2010-2019</t>
  </si>
  <si>
    <t>2022</t>
  </si>
  <si>
    <t>2023</t>
  </si>
  <si>
    <t>2024</t>
  </si>
  <si>
    <t>GHG</t>
  </si>
  <si>
    <t>53.3±5.4</t>
  </si>
  <si>
    <t>55.3±5.1</t>
  </si>
  <si>
    <t>56.2±5.2</t>
  </si>
  <si>
    <t>57.7±5.5</t>
  </si>
  <si>
    <t>CO2 Fossil</t>
  </si>
  <si>
    <t>36.3±2.9</t>
  </si>
  <si>
    <t>38.5±3.1</t>
  </si>
  <si>
    <t>39.1±3.1</t>
  </si>
  <si>
    <t>39.6±3.2</t>
  </si>
  <si>
    <t>CO2 LULUCF (Bookkeeping)</t>
  </si>
  <si>
    <t>4.9±3.4</t>
  </si>
  <si>
    <t>3.5±2.5</t>
  </si>
  <si>
    <t>3.6±2.5</t>
  </si>
  <si>
    <t>4.4±3.1</t>
  </si>
  <si>
    <t>CO2 LULUCF (Inventory)</t>
  </si>
  <si>
    <t>-3.6±-2.5</t>
  </si>
  <si>
    <t>-4.2±-2.9</t>
  </si>
  <si>
    <t>-4.2±-3</t>
  </si>
  <si>
    <t>CH4</t>
  </si>
  <si>
    <t>8.6±2.6</t>
  </si>
  <si>
    <t>9.1±2.7</t>
  </si>
  <si>
    <t>9.2±2.8</t>
  </si>
  <si>
    <t>9.3±2.8</t>
  </si>
  <si>
    <t>N2O</t>
  </si>
  <si>
    <t>2.4±1.4</t>
  </si>
  <si>
    <t>2.5±1.5</t>
  </si>
  <si>
    <t>2.6±1.5</t>
  </si>
  <si>
    <t>2.6±1.6</t>
  </si>
  <si>
    <t>F-gases</t>
  </si>
  <si>
    <t>1.2±0.35</t>
  </si>
  <si>
    <t>1.6±0.48</t>
  </si>
  <si>
    <t>1.7±0.5</t>
  </si>
  <si>
    <t>1.7±0.52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</si>
  <si>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</si>
  <si>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</si>
  <si>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</si>
  <si>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</si>
  <si>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</si>
  <si>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</si>
  <si>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</si>
  <si>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</si>
  <si>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</si>
  <si>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</si>
  <si>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</si>
  <si>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</si>
  <si>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</si>
  <si>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</si>
  <si>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</si>
  <si>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</si>
  <si>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</si>
  <si>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</si>
  <si>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</si>
  <si>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</si>
  <si>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</si>
  <si>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</si>
  <si>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</si>
  <si>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</si>
  <si>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</si>
  <si>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</si>
  <si>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</si>
  <si>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</si>
  <si>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</si>
  <si>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</si>
  <si>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</si>
  <si>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</si>
  <si>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change_2023_2024_abs</t>
  </si>
  <si>
    <t>change_2023_2024_rel</t>
  </si>
  <si>
    <t>2.3%</t>
  </si>
  <si>
    <t>1.1%</t>
  </si>
  <si>
    <t>20.9%</t>
  </si>
  <si>
    <t>0.4%</t>
  </si>
  <si>
    <t>0.6%</t>
  </si>
  <si>
    <t>3.8%</t>
  </si>
  <si>
    <t>sector_lv1</t>
  </si>
  <si>
    <t>sector_lv2</t>
  </si>
  <si>
    <t>sector_lv3</t>
  </si>
  <si>
    <t>Energy</t>
  </si>
  <si>
    <t>Energy | Power</t>
  </si>
  <si>
    <t>Power</t>
  </si>
  <si>
    <t>1.2%</t>
  </si>
  <si>
    <t>Energy | Industry</t>
  </si>
  <si>
    <t>Industry</t>
  </si>
  <si>
    <t>1.8%</t>
  </si>
  <si>
    <t>Energy | Transport</t>
  </si>
  <si>
    <t>Aviation</t>
  </si>
  <si>
    <t>6.3%</t>
  </si>
  <si>
    <t>Road</t>
  </si>
  <si>
    <t>0.7%</t>
  </si>
  <si>
    <t>Other (Transport)</t>
  </si>
  <si>
    <t>-2.3%</t>
  </si>
  <si>
    <t>Energy | Buildings &amp; other</t>
  </si>
  <si>
    <t>Buildings</t>
  </si>
  <si>
    <t>Other (Buildings)</t>
  </si>
  <si>
    <t>1%</t>
  </si>
  <si>
    <t>Energy | Fuel production</t>
  </si>
  <si>
    <t>Solid fuels</t>
  </si>
  <si>
    <t>2.2%</t>
  </si>
  <si>
    <t>Oil and gas</t>
  </si>
  <si>
    <t>0.9%</t>
  </si>
  <si>
    <t>Other (Fuel production)</t>
  </si>
  <si>
    <t>Industrial processes</t>
  </si>
  <si>
    <t>Cement (excl. carbonation)</t>
  </si>
  <si>
    <t>-3.7%</t>
  </si>
  <si>
    <t>Chemicals</t>
  </si>
  <si>
    <t>1.4%</t>
  </si>
  <si>
    <t>Metals</t>
  </si>
  <si>
    <t>1.5%</t>
  </si>
  <si>
    <t>Other (Industrial processes)</t>
  </si>
  <si>
    <t>2.8%</t>
  </si>
  <si>
    <t>Agriculture</t>
  </si>
  <si>
    <t>Livestock</t>
  </si>
  <si>
    <t>-0.2%</t>
  </si>
  <si>
    <t>Biomass burning, soils and rice</t>
  </si>
  <si>
    <t>0.5%</t>
  </si>
  <si>
    <t>Waste</t>
  </si>
  <si>
    <t>Solid waste</t>
  </si>
  <si>
    <t>-1%</t>
  </si>
  <si>
    <t>Liquid waste</t>
  </si>
  <si>
    <t>Other (Indirect N2O and fossil fuel fires)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</si>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</sst>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3" x14ac:knownFonts="1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2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9" fontId="0" fillId="0" borderId="0" xfId="1" applyFont="1"/>
  </cellXfs>
  <cellStyles count="2">
    <cellStyle name="Prozent" xfId="1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4" sqref="C4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9"/>
  <sheetViews>
    <sheetView tabSelected="1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L15" sqref="AL15"/>
    </sheetView>
  </sheetViews>
  <sheetFormatPr baseColWidth="10" defaultRowHeight="15" x14ac:dyDescent="0.25"/>
  <sheetData>
    <row r="1" spans="1:39" x14ac:dyDescent="0.25">
      <c r="A1" t="s">
        <v>0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2</v>
      </c>
      <c r="AI1" t="s">
        <v>3</v>
      </c>
      <c r="AJ1" t="s">
        <v>4</v>
      </c>
      <c r="AK1" t="s">
        <v>71</v>
      </c>
      <c r="AL1" t="s">
        <v>72</v>
      </c>
    </row>
    <row r="2" spans="1:39" x14ac:dyDescent="0.25">
      <c r="A2" t="s">
        <v>5</v>
      </c>
      <c r="B2" s="1">
        <v>37.155914073086301</v>
      </c>
      <c r="C2" s="1">
        <v>37.228608381702102</v>
      </c>
      <c r="D2" s="1">
        <v>37.478563099028001</v>
      </c>
      <c r="E2" s="1">
        <v>37.275829558953497</v>
      </c>
      <c r="F2" s="1">
        <v>38.5518054808933</v>
      </c>
      <c r="G2" s="1">
        <v>38.923501635660301</v>
      </c>
      <c r="H2" s="1">
        <v>40.140529566994701</v>
      </c>
      <c r="I2" s="1">
        <v>41.942679226567599</v>
      </c>
      <c r="J2" s="1">
        <v>40.796637281897802</v>
      </c>
      <c r="K2" s="1">
        <v>40.891434252301302</v>
      </c>
      <c r="L2" s="1">
        <v>41.055021730393001</v>
      </c>
      <c r="M2" s="1">
        <v>40.829719957175001</v>
      </c>
      <c r="N2" s="1">
        <v>41.661142296361099</v>
      </c>
      <c r="O2" s="1">
        <v>44.112323686001297</v>
      </c>
      <c r="P2" s="1">
        <v>45.010509914666301</v>
      </c>
      <c r="Q2" s="1">
        <v>45.795795346260597</v>
      </c>
      <c r="R2" s="1">
        <v>47.392837275523902</v>
      </c>
      <c r="S2" s="1">
        <v>47.928089448558701</v>
      </c>
      <c r="T2" s="1">
        <v>48.499197340780299</v>
      </c>
      <c r="U2" s="1">
        <v>48.447336618847999</v>
      </c>
      <c r="V2" s="1">
        <v>50.910643566596001</v>
      </c>
      <c r="W2" s="1">
        <v>52.074531470721702</v>
      </c>
      <c r="X2" s="1">
        <v>53.077022327700803</v>
      </c>
      <c r="Y2" s="1">
        <v>53.315257451418297</v>
      </c>
      <c r="Z2" s="1">
        <v>53.960909993252599</v>
      </c>
      <c r="AA2" s="1">
        <v>53.99445105873</v>
      </c>
      <c r="AB2" s="1">
        <v>53.083009665390399</v>
      </c>
      <c r="AC2" s="1">
        <v>53.735123020432198</v>
      </c>
      <c r="AD2" s="1">
        <v>54.438798115718598</v>
      </c>
      <c r="AE2" s="1">
        <v>54.648618154226099</v>
      </c>
      <c r="AF2" s="1">
        <v>52.454789150003201</v>
      </c>
      <c r="AG2" s="1">
        <v>54.798986099861402</v>
      </c>
      <c r="AH2" s="1">
        <v>55.347356802271598</v>
      </c>
      <c r="AI2" s="1">
        <v>56.2269425831322</v>
      </c>
      <c r="AJ2" s="1">
        <v>57.668202298744497</v>
      </c>
      <c r="AK2" s="3">
        <v>1.4412597156122899</v>
      </c>
      <c r="AL2" s="2" t="s">
        <v>73</v>
      </c>
    </row>
    <row r="3" spans="1:39" x14ac:dyDescent="0.25">
      <c r="A3" t="s">
        <v>10</v>
      </c>
      <c r="B3" s="1">
        <v>22.660087244135902</v>
      </c>
      <c r="C3" s="1">
        <v>22.794878528810099</v>
      </c>
      <c r="D3" s="1">
        <v>22.715000228235901</v>
      </c>
      <c r="E3" s="1">
        <v>22.808338858497201</v>
      </c>
      <c r="F3" s="1">
        <v>23.039398549922701</v>
      </c>
      <c r="G3" s="1">
        <v>23.682305092379998</v>
      </c>
      <c r="H3" s="1">
        <v>24.149148873633401</v>
      </c>
      <c r="I3" s="1">
        <v>24.598736933944298</v>
      </c>
      <c r="J3" s="1">
        <v>24.7565257532465</v>
      </c>
      <c r="K3" s="1">
        <v>24.940004450143199</v>
      </c>
      <c r="L3" s="1">
        <v>25.694737406951699</v>
      </c>
      <c r="M3" s="1">
        <v>26.000910869053801</v>
      </c>
      <c r="N3" s="1">
        <v>26.414856368701798</v>
      </c>
      <c r="O3" s="1">
        <v>27.642416209205798</v>
      </c>
      <c r="P3" s="1">
        <v>28.926384182822002</v>
      </c>
      <c r="Q3" s="1">
        <v>30.015950983936499</v>
      </c>
      <c r="R3" s="1">
        <v>31.037632618899298</v>
      </c>
      <c r="S3" s="1">
        <v>32.207381287699398</v>
      </c>
      <c r="T3" s="1">
        <v>32.414383027162899</v>
      </c>
      <c r="U3" s="1">
        <v>31.9666200445782</v>
      </c>
      <c r="V3" s="1">
        <v>33.969503322973502</v>
      </c>
      <c r="W3" s="1">
        <v>35.036756840359601</v>
      </c>
      <c r="X3" s="1">
        <v>35.489692178292003</v>
      </c>
      <c r="Y3" s="1">
        <v>36.177350664988502</v>
      </c>
      <c r="Z3" s="1">
        <v>36.3969746205183</v>
      </c>
      <c r="AA3" s="1">
        <v>36.292548413047697</v>
      </c>
      <c r="AB3" s="1">
        <v>36.390800954915697</v>
      </c>
      <c r="AC3" s="1">
        <v>37.020041687864001</v>
      </c>
      <c r="AD3" s="1">
        <v>37.905976014430102</v>
      </c>
      <c r="AE3" s="1">
        <v>38.008503145157398</v>
      </c>
      <c r="AF3" s="1">
        <v>36.209875311877497</v>
      </c>
      <c r="AG3" s="1">
        <v>38.2200106586007</v>
      </c>
      <c r="AH3" s="1">
        <v>38.5481332320105</v>
      </c>
      <c r="AI3" s="1">
        <v>39.112703144077798</v>
      </c>
      <c r="AJ3" s="1">
        <v>39.6326790522035</v>
      </c>
      <c r="AK3" s="3">
        <v>0.51997590812564498</v>
      </c>
      <c r="AL3" s="2" t="s">
        <v>74</v>
      </c>
      <c r="AM3" s="4">
        <f>AK3/$AK$2</f>
        <v>0.36077877046937634</v>
      </c>
    </row>
    <row r="4" spans="1:39" x14ac:dyDescent="0.25">
      <c r="A4" t="s">
        <v>15</v>
      </c>
      <c r="B4" s="1">
        <v>4.9802191266666602</v>
      </c>
      <c r="C4" s="1">
        <v>4.9735945600000004</v>
      </c>
      <c r="D4" s="1">
        <v>5.2618387891666698</v>
      </c>
      <c r="E4" s="1">
        <v>4.9774772575000004</v>
      </c>
      <c r="F4" s="1">
        <v>5.8936610058333301</v>
      </c>
      <c r="G4" s="1">
        <v>5.4363635700000001</v>
      </c>
      <c r="H4" s="1">
        <v>6.0169087824999998</v>
      </c>
      <c r="I4" s="1">
        <v>7.4119643216666704</v>
      </c>
      <c r="J4" s="1">
        <v>6.1489335325000001</v>
      </c>
      <c r="K4" s="1">
        <v>6.0072804733333296</v>
      </c>
      <c r="L4" s="1">
        <v>5.3010640833333298</v>
      </c>
      <c r="M4" s="1">
        <v>4.7687161408333303</v>
      </c>
      <c r="N4" s="1">
        <v>5.1318517158333297</v>
      </c>
      <c r="O4" s="1">
        <v>6.0800977233333304</v>
      </c>
      <c r="P4" s="1">
        <v>5.4079170383333297</v>
      </c>
      <c r="Q4" s="1">
        <v>4.8945433166666703</v>
      </c>
      <c r="R4" s="1">
        <v>5.33603255166667</v>
      </c>
      <c r="S4" s="1">
        <v>4.5979234675000002</v>
      </c>
      <c r="T4" s="1">
        <v>4.8838518391666703</v>
      </c>
      <c r="U4" s="1">
        <v>5.27782662916667</v>
      </c>
      <c r="V4" s="1">
        <v>5.4919111591666701</v>
      </c>
      <c r="W4" s="1">
        <v>5.2821127058333301</v>
      </c>
      <c r="X4" s="1">
        <v>5.6560005058333296</v>
      </c>
      <c r="Y4" s="1">
        <v>5.1198788024999997</v>
      </c>
      <c r="Z4" s="1">
        <v>5.4001205775000001</v>
      </c>
      <c r="AA4" s="1">
        <v>5.5356135816666701</v>
      </c>
      <c r="AB4" s="1">
        <v>4.4094595416666698</v>
      </c>
      <c r="AC4" s="1">
        <v>4.234097835</v>
      </c>
      <c r="AD4" s="1">
        <v>3.8475149625</v>
      </c>
      <c r="AE4" s="1">
        <v>3.7894992941666699</v>
      </c>
      <c r="AF4" s="1">
        <v>3.4414985183333302</v>
      </c>
      <c r="AG4" s="1">
        <v>3.5553694366666702</v>
      </c>
      <c r="AH4" s="1">
        <v>3.54361552416667</v>
      </c>
      <c r="AI4" s="1">
        <v>3.6275506666666701</v>
      </c>
      <c r="AJ4" s="1">
        <v>4.3967999999999998</v>
      </c>
      <c r="AK4" s="3">
        <v>0.76924933333333401</v>
      </c>
      <c r="AL4" s="2" t="s">
        <v>75</v>
      </c>
      <c r="AM4" s="4">
        <f>AK4/$AK$2</f>
        <v>0.53373401407152632</v>
      </c>
    </row>
    <row r="5" spans="1:39" x14ac:dyDescent="0.25">
      <c r="A5" t="s">
        <v>24</v>
      </c>
      <c r="B5" s="1">
        <v>7.1653139980650904</v>
      </c>
      <c r="C5" s="1">
        <v>7.0995641045909696</v>
      </c>
      <c r="D5" s="1">
        <v>7.1166899329077298</v>
      </c>
      <c r="E5" s="1">
        <v>7.0898670418718597</v>
      </c>
      <c r="F5" s="1">
        <v>7.1597764760012899</v>
      </c>
      <c r="G5" s="1">
        <v>7.2422512867495996</v>
      </c>
      <c r="H5" s="1">
        <v>7.3274709331871399</v>
      </c>
      <c r="I5" s="1">
        <v>7.2921832167779304</v>
      </c>
      <c r="J5" s="1">
        <v>7.2101111147402399</v>
      </c>
      <c r="K5" s="1">
        <v>7.2248824729793597</v>
      </c>
      <c r="L5" s="1">
        <v>7.3117315448394899</v>
      </c>
      <c r="M5" s="1">
        <v>7.3149978600574004</v>
      </c>
      <c r="N5" s="1">
        <v>7.28615231880487</v>
      </c>
      <c r="O5" s="1">
        <v>7.4984559310806702</v>
      </c>
      <c r="P5" s="1">
        <v>7.6447592592567597</v>
      </c>
      <c r="Q5" s="1">
        <v>7.7724803213785201</v>
      </c>
      <c r="R5" s="1">
        <v>7.8952489777667099</v>
      </c>
      <c r="S5" s="1">
        <v>7.9504542294071898</v>
      </c>
      <c r="T5" s="1">
        <v>8.0767417383258095</v>
      </c>
      <c r="U5" s="1">
        <v>8.0550501807769699</v>
      </c>
      <c r="V5" s="1">
        <v>8.2042286327096807</v>
      </c>
      <c r="W5" s="1">
        <v>8.3967317244025992</v>
      </c>
      <c r="X5" s="1">
        <v>8.4936334286472892</v>
      </c>
      <c r="Y5" s="1">
        <v>8.4994094088606698</v>
      </c>
      <c r="Z5" s="1">
        <v>8.5663345516247507</v>
      </c>
      <c r="AA5" s="1">
        <v>8.5925889166393095</v>
      </c>
      <c r="AB5" s="1">
        <v>8.6292639203791808</v>
      </c>
      <c r="AC5" s="1">
        <v>8.7458161612431198</v>
      </c>
      <c r="AD5" s="1">
        <v>8.8725816445470596</v>
      </c>
      <c r="AE5" s="1">
        <v>8.9459537022317797</v>
      </c>
      <c r="AF5" s="1">
        <v>8.8340130580650698</v>
      </c>
      <c r="AG5" s="1">
        <v>8.9525288583615907</v>
      </c>
      <c r="AH5" s="1">
        <v>9.0971294019198492</v>
      </c>
      <c r="AI5" s="1">
        <v>9.2263557641273994</v>
      </c>
      <c r="AJ5" s="1">
        <v>9.2877052748027502</v>
      </c>
      <c r="AK5" s="3">
        <v>6.1349510675341903E-2</v>
      </c>
      <c r="AL5" s="2" t="s">
        <v>76</v>
      </c>
      <c r="AM5" s="4">
        <f>AK5/$AK$2</f>
        <v>4.2566589498603175E-2</v>
      </c>
    </row>
    <row r="6" spans="1:39" x14ac:dyDescent="0.25">
      <c r="A6" t="s">
        <v>29</v>
      </c>
      <c r="B6" s="1">
        <v>1.93781779185687</v>
      </c>
      <c r="C6" s="1">
        <v>1.93405682689199</v>
      </c>
      <c r="D6" s="1">
        <v>1.9515073360610999</v>
      </c>
      <c r="E6" s="1">
        <v>1.95399310719734</v>
      </c>
      <c r="F6" s="1">
        <v>1.98168877605188</v>
      </c>
      <c r="G6" s="1">
        <v>2.0372236602959402</v>
      </c>
      <c r="H6" s="1">
        <v>2.09087971178888</v>
      </c>
      <c r="I6" s="1">
        <v>2.0500827156108699</v>
      </c>
      <c r="J6" s="1">
        <v>2.0658093306649201</v>
      </c>
      <c r="K6" s="1">
        <v>2.0825607259516099</v>
      </c>
      <c r="L6" s="1">
        <v>2.0735355995406302</v>
      </c>
      <c r="M6" s="1">
        <v>2.06691295381155</v>
      </c>
      <c r="N6" s="1">
        <v>2.0746818281196</v>
      </c>
      <c r="O6" s="1">
        <v>2.1076597938555302</v>
      </c>
      <c r="P6" s="1">
        <v>2.1671020788686701</v>
      </c>
      <c r="Q6" s="1">
        <v>2.1903085265933702</v>
      </c>
      <c r="R6" s="1">
        <v>2.2319148220862801</v>
      </c>
      <c r="S6" s="1">
        <v>2.2776252939865902</v>
      </c>
      <c r="T6" s="1">
        <v>2.2522031142405101</v>
      </c>
      <c r="U6" s="1">
        <v>2.2525950055068198</v>
      </c>
      <c r="V6" s="1">
        <v>2.2878972519660499</v>
      </c>
      <c r="W6" s="1">
        <v>2.3474806978118599</v>
      </c>
      <c r="X6" s="1">
        <v>2.3642403819789899</v>
      </c>
      <c r="Y6" s="1">
        <v>2.3941598084835598</v>
      </c>
      <c r="Z6" s="1">
        <v>2.3939829289811598</v>
      </c>
      <c r="AA6" s="1">
        <v>2.4121085107254099</v>
      </c>
      <c r="AB6" s="1">
        <v>2.43506516269274</v>
      </c>
      <c r="AC6" s="1">
        <v>2.4484064087162301</v>
      </c>
      <c r="AD6" s="1">
        <v>2.4575799182994502</v>
      </c>
      <c r="AE6" s="1">
        <v>2.4926458423535198</v>
      </c>
      <c r="AF6" s="1">
        <v>2.4968442087209399</v>
      </c>
      <c r="AG6" s="1">
        <v>2.52845775845815</v>
      </c>
      <c r="AH6" s="1">
        <v>2.54657074051023</v>
      </c>
      <c r="AI6" s="1">
        <v>2.5812736385366102</v>
      </c>
      <c r="AJ6" s="1">
        <v>2.6037386110399399</v>
      </c>
      <c r="AK6" s="3">
        <v>2.2464972503333701E-2</v>
      </c>
      <c r="AL6" s="2" t="s">
        <v>77</v>
      </c>
      <c r="AM6" s="4">
        <f>AK6/$AK$2</f>
        <v>1.5587039768047574E-2</v>
      </c>
    </row>
    <row r="7" spans="1:39" x14ac:dyDescent="0.25">
      <c r="A7" t="s">
        <v>34</v>
      </c>
      <c r="B7" s="1">
        <v>0.41247591236178499</v>
      </c>
      <c r="C7" s="1">
        <v>0.42651436140901999</v>
      </c>
      <c r="D7" s="1">
        <v>0.43352681265659698</v>
      </c>
      <c r="E7" s="1">
        <v>0.44615329388707098</v>
      </c>
      <c r="F7" s="1">
        <v>0.47728067308407301</v>
      </c>
      <c r="G7" s="1">
        <v>0.52535802623481598</v>
      </c>
      <c r="H7" s="1">
        <v>0.55612126588521704</v>
      </c>
      <c r="I7" s="1">
        <v>0.58971203856776699</v>
      </c>
      <c r="J7" s="1">
        <v>0.61525755074606903</v>
      </c>
      <c r="K7" s="1">
        <v>0.63670612989376096</v>
      </c>
      <c r="L7" s="1">
        <v>0.67395309572776096</v>
      </c>
      <c r="M7" s="1">
        <v>0.67818213341893496</v>
      </c>
      <c r="N7" s="1">
        <v>0.75360006490151998</v>
      </c>
      <c r="O7" s="1">
        <v>0.78369402852590797</v>
      </c>
      <c r="P7" s="1">
        <v>0.86434735538549601</v>
      </c>
      <c r="Q7" s="1">
        <v>0.92251219768550896</v>
      </c>
      <c r="R7" s="1">
        <v>0.89200830510492302</v>
      </c>
      <c r="S7" s="1">
        <v>0.89470516996556204</v>
      </c>
      <c r="T7" s="1">
        <v>0.87201762188438303</v>
      </c>
      <c r="U7" s="1">
        <v>0.89524475881931298</v>
      </c>
      <c r="V7" s="1">
        <v>0.95710319978012703</v>
      </c>
      <c r="W7" s="1">
        <v>1.01144950231426</v>
      </c>
      <c r="X7" s="1">
        <v>1.0734558329491299</v>
      </c>
      <c r="Y7" s="1">
        <v>1.1244587665855399</v>
      </c>
      <c r="Z7" s="1">
        <v>1.2034973146283401</v>
      </c>
      <c r="AA7" s="1">
        <v>1.16159163665089</v>
      </c>
      <c r="AB7" s="1">
        <v>1.2184200857360601</v>
      </c>
      <c r="AC7" s="1">
        <v>1.2867609276088401</v>
      </c>
      <c r="AD7" s="1">
        <v>1.3551455759419799</v>
      </c>
      <c r="AE7" s="1">
        <v>1.41201617031675</v>
      </c>
      <c r="AF7" s="1">
        <v>1.47255805300633</v>
      </c>
      <c r="AG7" s="1">
        <v>1.5426193877743799</v>
      </c>
      <c r="AH7" s="1">
        <v>1.61190790366437</v>
      </c>
      <c r="AI7" s="1">
        <v>1.67905936972367</v>
      </c>
      <c r="AJ7" s="1">
        <v>1.7472793606982999</v>
      </c>
      <c r="AK7" s="3">
        <v>6.8219990974637906E-2</v>
      </c>
      <c r="AL7" s="2" t="s">
        <v>78</v>
      </c>
      <c r="AM7" s="4">
        <f>AK7/$AK$2</f>
        <v>4.7333586192448339E-2</v>
      </c>
    </row>
    <row r="8" spans="1:39" x14ac:dyDescent="0.25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2"/>
    </row>
    <row r="9" spans="1:39" x14ac:dyDescent="0.25">
      <c r="A9" t="s">
        <v>20</v>
      </c>
      <c r="B9" s="1"/>
      <c r="C9" s="1"/>
      <c r="D9" s="1"/>
      <c r="E9" s="1"/>
      <c r="F9" s="1"/>
      <c r="G9" s="1"/>
      <c r="H9" s="1"/>
      <c r="I9" s="1"/>
      <c r="J9" s="1"/>
      <c r="K9" s="1"/>
      <c r="L9" s="1">
        <v>-3.1819471227998202</v>
      </c>
      <c r="M9" s="1">
        <v>-3.1444480050133099</v>
      </c>
      <c r="N9" s="1">
        <v>-2.8135939545564499</v>
      </c>
      <c r="O9" s="1">
        <v>-1.68473712458367</v>
      </c>
      <c r="P9" s="1">
        <v>-1.6282783177923199</v>
      </c>
      <c r="Q9" s="1">
        <v>-2.5040453689143498</v>
      </c>
      <c r="R9" s="1">
        <v>-2.6074206856797599</v>
      </c>
      <c r="S9" s="1">
        <v>-3.0450958401397199</v>
      </c>
      <c r="T9" s="1">
        <v>-3.0841801898673</v>
      </c>
      <c r="U9" s="1">
        <v>-3.5978330752782899</v>
      </c>
      <c r="V9" s="1">
        <v>-4.0989704504961502</v>
      </c>
      <c r="W9" s="1">
        <v>-3.56350795961517</v>
      </c>
      <c r="X9" s="1">
        <v>-3.3325122766308102</v>
      </c>
      <c r="Y9" s="1">
        <v>-3.57934103621194</v>
      </c>
      <c r="Z9" s="1">
        <v>-3.1929734570464201</v>
      </c>
      <c r="AA9" s="1">
        <v>-2.78437150533163</v>
      </c>
      <c r="AB9" s="1">
        <v>-3.4750246209566802</v>
      </c>
      <c r="AC9" s="1">
        <v>-3.90238665102925</v>
      </c>
      <c r="AD9" s="1">
        <v>-4.1142153124932701</v>
      </c>
      <c r="AE9" s="1">
        <v>-3.5455962251272499</v>
      </c>
      <c r="AF9" s="1">
        <v>-4.1740954876922398</v>
      </c>
      <c r="AG9" s="1">
        <v>-3.7769730760399498</v>
      </c>
      <c r="AH9" s="1">
        <v>-4.1552254296134503</v>
      </c>
      <c r="AI9" s="1">
        <v>-4.2214756312792501</v>
      </c>
      <c r="AJ9" s="1"/>
      <c r="AK9" s="1"/>
      <c r="AL9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0"/>
  <sheetViews>
    <sheetView workbookViewId="0">
      <pane xSplit="3" ySplit="1" topLeftCell="P2" activePane="bottomRight" state="frozen"/>
      <selection pane="topRight" activeCell="D1" sqref="D1"/>
      <selection pane="bottomLeft" activeCell="A2" sqref="A2"/>
      <selection pane="bottomRight" activeCell="AD29" sqref="AD29"/>
    </sheetView>
  </sheetViews>
  <sheetFormatPr baseColWidth="10" defaultRowHeight="15" x14ac:dyDescent="0.25"/>
  <cols>
    <col min="2" max="2" width="24.42578125" bestFit="1" customWidth="1"/>
  </cols>
  <sheetData>
    <row r="1" spans="1:40" x14ac:dyDescent="0.25">
      <c r="A1" t="s">
        <v>79</v>
      </c>
      <c r="B1" t="s">
        <v>80</v>
      </c>
      <c r="C1" t="s">
        <v>81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t="s">
        <v>69</v>
      </c>
      <c r="AI1" t="s">
        <v>70</v>
      </c>
      <c r="AJ1" t="s">
        <v>2</v>
      </c>
      <c r="AK1" t="s">
        <v>3</v>
      </c>
      <c r="AL1" t="s">
        <v>4</v>
      </c>
      <c r="AM1" t="s">
        <v>71</v>
      </c>
      <c r="AN1" t="s">
        <v>72</v>
      </c>
    </row>
    <row r="2" spans="1:40" x14ac:dyDescent="0.25">
      <c r="A2" t="s">
        <v>82</v>
      </c>
      <c r="B2" t="s">
        <v>83</v>
      </c>
      <c r="C2" t="s">
        <v>84</v>
      </c>
      <c r="D2" s="1">
        <v>7.68013294786169</v>
      </c>
      <c r="E2" s="1">
        <v>7.8303792266729397</v>
      </c>
      <c r="F2" s="1">
        <v>7.96761282571007</v>
      </c>
      <c r="G2" s="1">
        <v>7.9900091791532102</v>
      </c>
      <c r="H2" s="1">
        <v>8.0727729863689603</v>
      </c>
      <c r="I2" s="1">
        <v>8.2324214334387094</v>
      </c>
      <c r="J2" s="1">
        <v>8.5788137136779294</v>
      </c>
      <c r="K2" s="1">
        <v>8.8012327341210597</v>
      </c>
      <c r="L2" s="1">
        <v>8.9869101971221692</v>
      </c>
      <c r="M2" s="1">
        <v>9.06620202910009</v>
      </c>
      <c r="N2" s="1">
        <v>9.4485133728247206</v>
      </c>
      <c r="O2" s="1">
        <v>9.6546523949028806</v>
      </c>
      <c r="P2" s="1">
        <v>9.7929965295422807</v>
      </c>
      <c r="Q2" s="1">
        <v>10.3534430580962</v>
      </c>
      <c r="R2" s="1">
        <v>10.728137078409</v>
      </c>
      <c r="S2" s="1">
        <v>11.076593213430799</v>
      </c>
      <c r="T2" s="1">
        <v>11.5112897989126</v>
      </c>
      <c r="U2" s="1">
        <v>12.0144329453013</v>
      </c>
      <c r="V2" s="1">
        <v>12.0145877843902</v>
      </c>
      <c r="W2" s="1">
        <v>11.8202780522093</v>
      </c>
      <c r="X2" s="1">
        <v>12.6174207753453</v>
      </c>
      <c r="Y2" s="1">
        <v>13.2366711527301</v>
      </c>
      <c r="Z2" s="1">
        <v>13.5205116761484</v>
      </c>
      <c r="AA2" s="1">
        <v>13.7779078259325</v>
      </c>
      <c r="AB2" s="1">
        <v>13.842383712758901</v>
      </c>
      <c r="AC2" s="1">
        <v>13.5442448215369</v>
      </c>
      <c r="AD2" s="1">
        <v>13.600878323874699</v>
      </c>
      <c r="AE2" s="1">
        <v>13.9254536795804</v>
      </c>
      <c r="AF2" s="1">
        <v>14.3606895743061</v>
      </c>
      <c r="AG2" s="1">
        <v>14.2501072525145</v>
      </c>
      <c r="AH2" s="1">
        <v>13.833447273637001</v>
      </c>
      <c r="AI2" s="1">
        <v>14.927960712515301</v>
      </c>
      <c r="AJ2" s="1">
        <v>15.108890666671201</v>
      </c>
      <c r="AK2" s="1">
        <v>15.4086878587123</v>
      </c>
      <c r="AL2" s="1">
        <v>15.6439737548625</v>
      </c>
      <c r="AM2" s="1">
        <v>0.235285896150222</v>
      </c>
      <c r="AN2" t="s">
        <v>85</v>
      </c>
    </row>
    <row r="3" spans="1:40" x14ac:dyDescent="0.25">
      <c r="A3" t="s">
        <v>82</v>
      </c>
      <c r="B3" t="s">
        <v>86</v>
      </c>
      <c r="C3" t="s">
        <v>87</v>
      </c>
      <c r="D3" s="1">
        <v>3.97966712939437</v>
      </c>
      <c r="E3" s="1">
        <v>3.9012338809774301</v>
      </c>
      <c r="F3" s="1">
        <v>3.77203315063058</v>
      </c>
      <c r="G3" s="1">
        <v>3.7203806317453298</v>
      </c>
      <c r="H3" s="1">
        <v>3.7339625641872001</v>
      </c>
      <c r="I3" s="1">
        <v>3.9579320536809299</v>
      </c>
      <c r="J3" s="1">
        <v>3.8402977944578902</v>
      </c>
      <c r="K3" s="1">
        <v>3.8644824508497702</v>
      </c>
      <c r="L3" s="1">
        <v>3.8625921731047299</v>
      </c>
      <c r="M3" s="1">
        <v>3.7054153100780001</v>
      </c>
      <c r="N3" s="1">
        <v>3.8612274866303702</v>
      </c>
      <c r="O3" s="1">
        <v>3.8832484493753099</v>
      </c>
      <c r="P3" s="1">
        <v>3.8946353008833601</v>
      </c>
      <c r="Q3" s="1">
        <v>4.0872999212063004</v>
      </c>
      <c r="R3" s="1">
        <v>4.5157961910513897</v>
      </c>
      <c r="S3" s="1">
        <v>4.9371568927925802</v>
      </c>
      <c r="T3" s="1">
        <v>5.1730127325726798</v>
      </c>
      <c r="U3" s="1">
        <v>5.45351465356761</v>
      </c>
      <c r="V3" s="1">
        <v>5.5617425056576</v>
      </c>
      <c r="W3" s="1">
        <v>5.55081077369117</v>
      </c>
      <c r="X3" s="1">
        <v>6.1122078664713104</v>
      </c>
      <c r="Y3" s="1">
        <v>6.3418062657098799</v>
      </c>
      <c r="Z3" s="1">
        <v>6.3648783118971499</v>
      </c>
      <c r="AA3" s="1">
        <v>6.3673086366299998</v>
      </c>
      <c r="AB3" s="1">
        <v>6.43564415410248</v>
      </c>
      <c r="AC3" s="1">
        <v>6.3190056991603303</v>
      </c>
      <c r="AD3" s="1">
        <v>6.1612476179330304</v>
      </c>
      <c r="AE3" s="1">
        <v>6.0822000156835498</v>
      </c>
      <c r="AF3" s="1">
        <v>6.2090993761577504</v>
      </c>
      <c r="AG3" s="1">
        <v>6.2500262271211202</v>
      </c>
      <c r="AH3" s="1">
        <v>6.2047020880408796</v>
      </c>
      <c r="AI3" s="1">
        <v>6.3510831866588697</v>
      </c>
      <c r="AJ3" s="1">
        <v>6.3061395230453501</v>
      </c>
      <c r="AK3" s="1">
        <v>6.37186386010685</v>
      </c>
      <c r="AL3" s="1">
        <v>6.5030890613909103</v>
      </c>
      <c r="AM3" s="1">
        <v>0.13122520128405801</v>
      </c>
      <c r="AN3" s="2" t="s">
        <v>88</v>
      </c>
    </row>
    <row r="4" spans="1:40" x14ac:dyDescent="0.25">
      <c r="A4" t="s">
        <v>82</v>
      </c>
      <c r="B4" t="s">
        <v>89</v>
      </c>
      <c r="C4" t="s">
        <v>90</v>
      </c>
      <c r="D4" s="1">
        <v>0.54790012436777902</v>
      </c>
      <c r="E4" s="1">
        <v>0.53056690401537399</v>
      </c>
      <c r="F4" s="1">
        <v>0.53420186231387001</v>
      </c>
      <c r="G4" s="1">
        <v>0.53887029039477996</v>
      </c>
      <c r="H4" s="1">
        <v>0.56255645653805797</v>
      </c>
      <c r="I4" s="1">
        <v>0.57681322136820801</v>
      </c>
      <c r="J4" s="1">
        <v>0.60347735320773299</v>
      </c>
      <c r="K4" s="1">
        <v>0.62298851808521405</v>
      </c>
      <c r="L4" s="1">
        <v>0.63485291910106301</v>
      </c>
      <c r="M4" s="1">
        <v>0.65612629977583103</v>
      </c>
      <c r="N4" s="1">
        <v>0.68168676969770303</v>
      </c>
      <c r="O4" s="1">
        <v>0.66635869977763795</v>
      </c>
      <c r="P4" s="1">
        <v>0.67315024617409003</v>
      </c>
      <c r="Q4" s="1">
        <v>0.66864892887135996</v>
      </c>
      <c r="R4" s="1">
        <v>0.71111320726507998</v>
      </c>
      <c r="S4" s="1">
        <v>0.74072066414285798</v>
      </c>
      <c r="T4" s="1">
        <v>0.74969166772551599</v>
      </c>
      <c r="U4" s="1">
        <v>0.76953669850593398</v>
      </c>
      <c r="V4" s="1">
        <v>0.76304582186116798</v>
      </c>
      <c r="W4" s="1">
        <v>0.72217236485810399</v>
      </c>
      <c r="X4" s="1">
        <v>0.76357985139872397</v>
      </c>
      <c r="Y4" s="1">
        <v>0.78464506535966605</v>
      </c>
      <c r="Z4" s="1">
        <v>0.79136239430217703</v>
      </c>
      <c r="AA4" s="1">
        <v>0.80950739021775098</v>
      </c>
      <c r="AB4" s="1">
        <v>0.83556079898906399</v>
      </c>
      <c r="AC4" s="1">
        <v>0.88245792853912597</v>
      </c>
      <c r="AD4" s="1">
        <v>0.924367152233186</v>
      </c>
      <c r="AE4" s="1">
        <v>0.97838481289429202</v>
      </c>
      <c r="AF4" s="1">
        <v>1.0195728984144701</v>
      </c>
      <c r="AG4" s="1">
        <v>1.03548023550235</v>
      </c>
      <c r="AH4" s="1">
        <v>0.57840004069598305</v>
      </c>
      <c r="AI4" s="1">
        <v>0.660890931247195</v>
      </c>
      <c r="AJ4" s="1">
        <v>0.80859681910857095</v>
      </c>
      <c r="AK4" s="1">
        <v>0.97644413342570002</v>
      </c>
      <c r="AL4" s="1">
        <v>1.04072151164941</v>
      </c>
      <c r="AM4" s="1">
        <v>6.4277378223705703E-2</v>
      </c>
      <c r="AN4" s="2" t="s">
        <v>91</v>
      </c>
    </row>
    <row r="5" spans="1:40" x14ac:dyDescent="0.25">
      <c r="A5" t="s">
        <v>82</v>
      </c>
      <c r="B5" t="s">
        <v>89</v>
      </c>
      <c r="C5" t="s">
        <v>92</v>
      </c>
      <c r="D5" s="1">
        <v>3.3941063082046599</v>
      </c>
      <c r="E5" s="1">
        <v>3.4451267059061301</v>
      </c>
      <c r="F5" s="1">
        <v>3.5234013645568401</v>
      </c>
      <c r="G5" s="1">
        <v>3.5889714022478998</v>
      </c>
      <c r="H5" s="1">
        <v>3.6813010362634899</v>
      </c>
      <c r="I5" s="1">
        <v>3.7871274109800299</v>
      </c>
      <c r="J5" s="1">
        <v>3.93837032528555</v>
      </c>
      <c r="K5" s="1">
        <v>4.0217666994716703</v>
      </c>
      <c r="L5" s="1">
        <v>4.1250987496813298</v>
      </c>
      <c r="M5" s="1">
        <v>4.2295719861421102</v>
      </c>
      <c r="N5" s="1">
        <v>4.3417275227955399</v>
      </c>
      <c r="O5" s="1">
        <v>4.4145530959150996</v>
      </c>
      <c r="P5" s="1">
        <v>4.54029632361424</v>
      </c>
      <c r="Q5" s="1">
        <v>4.6467037721951199</v>
      </c>
      <c r="R5" s="1">
        <v>4.8262762168853204</v>
      </c>
      <c r="S5" s="1">
        <v>4.9029171165002898</v>
      </c>
      <c r="T5" s="1">
        <v>4.9985135044089297</v>
      </c>
      <c r="U5" s="1">
        <v>5.1394703019662202</v>
      </c>
      <c r="V5" s="1">
        <v>5.17585000373938</v>
      </c>
      <c r="W5" s="1">
        <v>5.13724668710449</v>
      </c>
      <c r="X5" s="1">
        <v>5.32731900010877</v>
      </c>
      <c r="Y5" s="1">
        <v>5.3974418791791097</v>
      </c>
      <c r="Z5" s="1">
        <v>5.5013882643005703</v>
      </c>
      <c r="AA5" s="1">
        <v>5.6550424693729804</v>
      </c>
      <c r="AB5" s="1">
        <v>5.7305139542477299</v>
      </c>
      <c r="AC5" s="1">
        <v>5.8922262239085201</v>
      </c>
      <c r="AD5" s="1">
        <v>5.98825348679686</v>
      </c>
      <c r="AE5" s="1">
        <v>6.0841813446500703</v>
      </c>
      <c r="AF5" s="1">
        <v>6.2067224565258101</v>
      </c>
      <c r="AG5" s="1">
        <v>6.2156437884726703</v>
      </c>
      <c r="AH5" s="1">
        <v>5.5790713994812497</v>
      </c>
      <c r="AI5" s="1">
        <v>6.0016853793358198</v>
      </c>
      <c r="AJ5" s="1">
        <v>6.1598501788854101</v>
      </c>
      <c r="AK5" s="1">
        <v>6.1853480123909996</v>
      </c>
      <c r="AL5" s="1">
        <v>6.2444685853653299</v>
      </c>
      <c r="AM5" s="1">
        <v>5.9120572974328503E-2</v>
      </c>
      <c r="AN5" s="2" t="s">
        <v>93</v>
      </c>
    </row>
    <row r="6" spans="1:40" x14ac:dyDescent="0.25">
      <c r="A6" t="s">
        <v>82</v>
      </c>
      <c r="B6" t="s">
        <v>89</v>
      </c>
      <c r="C6" t="s">
        <v>94</v>
      </c>
      <c r="D6" s="1">
        <v>0.76564404593964297</v>
      </c>
      <c r="E6" s="1">
        <v>0.77134772231000404</v>
      </c>
      <c r="F6" s="1">
        <v>0.79828323756895403</v>
      </c>
      <c r="G6" s="1">
        <v>0.770044369048282</v>
      </c>
      <c r="H6" s="1">
        <v>0.75484094002815505</v>
      </c>
      <c r="I6" s="1">
        <v>0.77322836251777805</v>
      </c>
      <c r="J6" s="1">
        <v>0.80712759800553402</v>
      </c>
      <c r="K6" s="1">
        <v>0.78550380179575796</v>
      </c>
      <c r="L6" s="1">
        <v>0.80087874887067401</v>
      </c>
      <c r="M6" s="1">
        <v>0.84418453201639698</v>
      </c>
      <c r="N6" s="1">
        <v>0.86782310958395403</v>
      </c>
      <c r="O6" s="1">
        <v>0.84016589012628495</v>
      </c>
      <c r="P6" s="1">
        <v>0.862687031583808</v>
      </c>
      <c r="Q6" s="1">
        <v>0.88905236438489998</v>
      </c>
      <c r="R6" s="1">
        <v>0.95454663656179095</v>
      </c>
      <c r="S6" s="1">
        <v>0.98992221123938295</v>
      </c>
      <c r="T6" s="1">
        <v>1.03964968771403</v>
      </c>
      <c r="U6" s="1">
        <v>1.0899766210528801</v>
      </c>
      <c r="V6" s="1">
        <v>1.06589581675013</v>
      </c>
      <c r="W6" s="1">
        <v>1.00052606820629</v>
      </c>
      <c r="X6" s="1">
        <v>1.0611890799107599</v>
      </c>
      <c r="Y6" s="1">
        <v>1.08728256658598</v>
      </c>
      <c r="Z6" s="1">
        <v>1.03579496412292</v>
      </c>
      <c r="AA6" s="1">
        <v>1.04750870793149</v>
      </c>
      <c r="AB6" s="1">
        <v>1.0691572316639799</v>
      </c>
      <c r="AC6" s="1">
        <v>1.0943379218390299</v>
      </c>
      <c r="AD6" s="1">
        <v>1.1092124460724</v>
      </c>
      <c r="AE6" s="1">
        <v>1.1536059911468199</v>
      </c>
      <c r="AF6" s="1">
        <v>1.1824186455605299</v>
      </c>
      <c r="AG6" s="1">
        <v>1.1770372757402201</v>
      </c>
      <c r="AH6" s="1">
        <v>1.0665493776581101</v>
      </c>
      <c r="AI6" s="1">
        <v>1.1255640438058101</v>
      </c>
      <c r="AJ6" s="1">
        <v>1.1354501654901901</v>
      </c>
      <c r="AK6" s="1">
        <v>1.1836381215335099</v>
      </c>
      <c r="AL6" s="1">
        <v>1.15966579849398</v>
      </c>
      <c r="AM6" s="1">
        <v>-2.39723230395299E-2</v>
      </c>
      <c r="AN6" s="2" t="s">
        <v>95</v>
      </c>
    </row>
    <row r="7" spans="1:40" x14ac:dyDescent="0.25">
      <c r="A7" t="s">
        <v>82</v>
      </c>
      <c r="B7" t="s">
        <v>96</v>
      </c>
      <c r="C7" t="s">
        <v>97</v>
      </c>
      <c r="D7" s="1">
        <v>3.3389167085478402</v>
      </c>
      <c r="E7" s="1">
        <v>3.3695045227683198</v>
      </c>
      <c r="F7" s="1">
        <v>3.2412793689787298</v>
      </c>
      <c r="G7" s="1">
        <v>3.30129749119323</v>
      </c>
      <c r="H7" s="1">
        <v>3.2234130782341301</v>
      </c>
      <c r="I7" s="1">
        <v>3.3194268403185001</v>
      </c>
      <c r="J7" s="1">
        <v>3.3431614840146802</v>
      </c>
      <c r="K7" s="1">
        <v>3.36953906532989</v>
      </c>
      <c r="L7" s="1">
        <v>3.2061307957059602</v>
      </c>
      <c r="M7" s="1">
        <v>3.2769774352184702</v>
      </c>
      <c r="N7" s="1">
        <v>3.19342149308949</v>
      </c>
      <c r="O7" s="1">
        <v>3.2191852416370601</v>
      </c>
      <c r="P7" s="1">
        <v>3.2188001255172098</v>
      </c>
      <c r="Q7" s="1">
        <v>3.3139556117109001</v>
      </c>
      <c r="R7" s="1">
        <v>3.38822087061796</v>
      </c>
      <c r="S7" s="1">
        <v>3.4166634861082801</v>
      </c>
      <c r="T7" s="1">
        <v>3.3885228404230201</v>
      </c>
      <c r="U7" s="1">
        <v>3.38039660160468</v>
      </c>
      <c r="V7" s="1">
        <v>3.4388435993044402</v>
      </c>
      <c r="W7" s="1">
        <v>3.37429837956903</v>
      </c>
      <c r="X7" s="1">
        <v>3.4443321807824501</v>
      </c>
      <c r="Y7" s="1">
        <v>3.39546081733201</v>
      </c>
      <c r="Z7" s="1">
        <v>3.3346874765447301</v>
      </c>
      <c r="AA7" s="1">
        <v>3.45165500378886</v>
      </c>
      <c r="AB7" s="1">
        <v>3.39586075070092</v>
      </c>
      <c r="AC7" s="1">
        <v>3.42548326516504</v>
      </c>
      <c r="AD7" s="1">
        <v>3.4543212161573398</v>
      </c>
      <c r="AE7" s="1">
        <v>3.5392718178192699</v>
      </c>
      <c r="AF7" s="1">
        <v>3.5666062949782198</v>
      </c>
      <c r="AG7" s="1">
        <v>3.5102095071085402</v>
      </c>
      <c r="AH7" s="1">
        <v>3.44707736274332</v>
      </c>
      <c r="AI7" s="1">
        <v>3.50031326668533</v>
      </c>
      <c r="AJ7" s="1">
        <v>3.4405580031903602</v>
      </c>
      <c r="AK7" s="1">
        <v>3.35591069936092</v>
      </c>
      <c r="AL7" s="1">
        <v>3.40495774147431</v>
      </c>
      <c r="AM7" s="1">
        <v>4.9047042113384197E-2</v>
      </c>
      <c r="AN7" s="2" t="s">
        <v>85</v>
      </c>
    </row>
    <row r="8" spans="1:40" x14ac:dyDescent="0.25">
      <c r="A8" t="s">
        <v>82</v>
      </c>
      <c r="B8" t="s">
        <v>96</v>
      </c>
      <c r="C8" t="s">
        <v>98</v>
      </c>
      <c r="D8" s="1">
        <v>0.36116746935504501</v>
      </c>
      <c r="E8" s="1">
        <v>0.357676079710045</v>
      </c>
      <c r="F8" s="1">
        <v>0.28946519435629098</v>
      </c>
      <c r="G8" s="1">
        <v>0.30517973255844899</v>
      </c>
      <c r="H8" s="1">
        <v>0.26660967223651599</v>
      </c>
      <c r="I8" s="1">
        <v>0.20035487550280101</v>
      </c>
      <c r="J8" s="1">
        <v>0.161756915153769</v>
      </c>
      <c r="K8" s="1">
        <v>0.16769267564024401</v>
      </c>
      <c r="L8" s="1">
        <v>0.15100747590392799</v>
      </c>
      <c r="M8" s="1">
        <v>0.16098752989755599</v>
      </c>
      <c r="N8" s="1">
        <v>0.16985626318493099</v>
      </c>
      <c r="O8" s="1">
        <v>0.17621857236303801</v>
      </c>
      <c r="P8" s="1">
        <v>0.17756711244206899</v>
      </c>
      <c r="Q8" s="1">
        <v>0.19167632147281499</v>
      </c>
      <c r="R8" s="1">
        <v>0.198537937296905</v>
      </c>
      <c r="S8" s="1">
        <v>0.19908876754899399</v>
      </c>
      <c r="T8" s="1">
        <v>0.20643310481528801</v>
      </c>
      <c r="U8" s="1">
        <v>0.212971176101628</v>
      </c>
      <c r="V8" s="1">
        <v>0.24442984597402001</v>
      </c>
      <c r="W8" s="1">
        <v>0.21352896368788399</v>
      </c>
      <c r="X8" s="1">
        <v>0.21488147505152599</v>
      </c>
      <c r="Y8" s="1">
        <v>0.21201275021243399</v>
      </c>
      <c r="Z8" s="1">
        <v>0.22641106038424499</v>
      </c>
      <c r="AA8" s="1">
        <v>0.233692967196585</v>
      </c>
      <c r="AB8" s="1">
        <v>0.22983282110101699</v>
      </c>
      <c r="AC8" s="1">
        <v>0.22475499578390601</v>
      </c>
      <c r="AD8" s="1">
        <v>0.22256230869238999</v>
      </c>
      <c r="AE8" s="1">
        <v>0.20986598771613199</v>
      </c>
      <c r="AF8" s="1">
        <v>0.19846593419035799</v>
      </c>
      <c r="AG8" s="1">
        <v>0.185795617417336</v>
      </c>
      <c r="AH8" s="1">
        <v>0.183750400800134</v>
      </c>
      <c r="AI8" s="1">
        <v>0.17443070834032801</v>
      </c>
      <c r="AJ8" s="1">
        <v>0.169824623164338</v>
      </c>
      <c r="AK8" s="1">
        <v>0.171138910749667</v>
      </c>
      <c r="AL8" s="1">
        <v>0.173329409792743</v>
      </c>
      <c r="AM8" s="1">
        <v>2.1904990430760599E-3</v>
      </c>
      <c r="AN8" s="2" t="s">
        <v>99</v>
      </c>
    </row>
    <row r="9" spans="1:40" x14ac:dyDescent="0.25">
      <c r="A9" t="s">
        <v>82</v>
      </c>
      <c r="B9" t="s">
        <v>100</v>
      </c>
      <c r="C9" t="s">
        <v>101</v>
      </c>
      <c r="D9" s="1">
        <v>1.1698836811038</v>
      </c>
      <c r="E9" s="1">
        <v>1.1278419521204299</v>
      </c>
      <c r="F9" s="1">
        <v>1.0913621558309501</v>
      </c>
      <c r="G9" s="1">
        <v>1.0323558723364299</v>
      </c>
      <c r="H9" s="1">
        <v>1.0195024590151001</v>
      </c>
      <c r="I9" s="1">
        <v>1.0453537105723001</v>
      </c>
      <c r="J9" s="1">
        <v>0.99769501204210498</v>
      </c>
      <c r="K9" s="1">
        <v>1.02118765633806</v>
      </c>
      <c r="L9" s="1">
        <v>0.96409824528303401</v>
      </c>
      <c r="M9" s="1">
        <v>0.96318432614347105</v>
      </c>
      <c r="N9" s="1">
        <v>0.99169728667561197</v>
      </c>
      <c r="O9" s="1">
        <v>0.97231297273536899</v>
      </c>
      <c r="P9" s="1">
        <v>0.97235811193922095</v>
      </c>
      <c r="Q9" s="1">
        <v>1.06800110516619</v>
      </c>
      <c r="R9" s="1">
        <v>1.1462945688422901</v>
      </c>
      <c r="S9" s="1">
        <v>1.20937598286909</v>
      </c>
      <c r="T9" s="1">
        <v>1.27078827822072</v>
      </c>
      <c r="U9" s="1">
        <v>1.29007157291955</v>
      </c>
      <c r="V9" s="1">
        <v>1.2926068999418501</v>
      </c>
      <c r="W9" s="1">
        <v>1.29946529510294</v>
      </c>
      <c r="X9" s="1">
        <v>1.3737128149626801</v>
      </c>
      <c r="Y9" s="1">
        <v>1.50782976429953</v>
      </c>
      <c r="Z9" s="1">
        <v>1.5519032559889701</v>
      </c>
      <c r="AA9" s="1">
        <v>1.5202342184115101</v>
      </c>
      <c r="AB9" s="1">
        <v>1.58722956854723</v>
      </c>
      <c r="AC9" s="1">
        <v>1.59135755640801</v>
      </c>
      <c r="AD9" s="1">
        <v>1.5151410876090401</v>
      </c>
      <c r="AE9" s="1">
        <v>1.5992220444408001</v>
      </c>
      <c r="AF9" s="1">
        <v>1.7149043142484399</v>
      </c>
      <c r="AG9" s="1">
        <v>1.7981982857622401</v>
      </c>
      <c r="AH9" s="1">
        <v>1.75264844248999</v>
      </c>
      <c r="AI9" s="1">
        <v>1.8296565390863599</v>
      </c>
      <c r="AJ9" s="1">
        <v>1.92351151158399</v>
      </c>
      <c r="AK9" s="1">
        <v>2.0054203724023401</v>
      </c>
      <c r="AL9" s="1">
        <v>2.05534666586186</v>
      </c>
      <c r="AM9" s="1">
        <v>4.9926293459520397E-2</v>
      </c>
      <c r="AN9" s="2" t="s">
        <v>102</v>
      </c>
    </row>
    <row r="10" spans="1:40" x14ac:dyDescent="0.25">
      <c r="A10" t="s">
        <v>82</v>
      </c>
      <c r="B10" t="s">
        <v>100</v>
      </c>
      <c r="C10" t="s">
        <v>103</v>
      </c>
      <c r="D10" s="1">
        <v>1.58010452855637</v>
      </c>
      <c r="E10" s="1">
        <v>1.5513877639029501</v>
      </c>
      <c r="F10" s="1">
        <v>1.5834326761897399</v>
      </c>
      <c r="G10" s="1">
        <v>1.59749737069585</v>
      </c>
      <c r="H10" s="1">
        <v>1.71911731538625</v>
      </c>
      <c r="I10" s="1">
        <v>1.7496033012864001</v>
      </c>
      <c r="J10" s="1">
        <v>1.87549915112675</v>
      </c>
      <c r="K10" s="1">
        <v>1.8673288656298299</v>
      </c>
      <c r="L10" s="1">
        <v>1.8140459025439299</v>
      </c>
      <c r="M10" s="1">
        <v>1.7881772649835701</v>
      </c>
      <c r="N10" s="1">
        <v>1.8746668649087901</v>
      </c>
      <c r="O10" s="1">
        <v>1.8287852909066999</v>
      </c>
      <c r="P10" s="1">
        <v>1.73187567742691</v>
      </c>
      <c r="Q10" s="1">
        <v>1.8811044791951901</v>
      </c>
      <c r="R10" s="1">
        <v>1.8610090957013601</v>
      </c>
      <c r="S10" s="1">
        <v>1.8917880981544799</v>
      </c>
      <c r="T10" s="1">
        <v>1.8884096161597299</v>
      </c>
      <c r="U10" s="1">
        <v>1.8217430128344001</v>
      </c>
      <c r="V10" s="1">
        <v>1.8375749305051401</v>
      </c>
      <c r="W10" s="1">
        <v>1.78862828294166</v>
      </c>
      <c r="X10" s="1">
        <v>1.8221622585247701</v>
      </c>
      <c r="Y10" s="1">
        <v>1.83320188405491</v>
      </c>
      <c r="Z10" s="1">
        <v>1.85873419573792</v>
      </c>
      <c r="AA10" s="1">
        <v>1.84834469308199</v>
      </c>
      <c r="AB10" s="1">
        <v>1.8612309011500101</v>
      </c>
      <c r="AC10" s="1">
        <v>1.8789306078202801</v>
      </c>
      <c r="AD10" s="1">
        <v>1.89454912002968</v>
      </c>
      <c r="AE10" s="1">
        <v>1.91506867717983</v>
      </c>
      <c r="AF10" s="1">
        <v>1.9577840951635701</v>
      </c>
      <c r="AG10" s="1">
        <v>1.99389912360372</v>
      </c>
      <c r="AH10" s="1">
        <v>1.8388574633921899</v>
      </c>
      <c r="AI10" s="1">
        <v>1.8895867067254599</v>
      </c>
      <c r="AJ10" s="1">
        <v>1.9134018934950701</v>
      </c>
      <c r="AK10" s="1">
        <v>1.95471964507294</v>
      </c>
      <c r="AL10" s="1">
        <v>1.97785077053354</v>
      </c>
      <c r="AM10" s="1">
        <v>2.31311254605919E-2</v>
      </c>
      <c r="AN10" s="2" t="s">
        <v>104</v>
      </c>
    </row>
    <row r="11" spans="1:40" x14ac:dyDescent="0.25">
      <c r="A11" t="s">
        <v>82</v>
      </c>
      <c r="B11" t="s">
        <v>100</v>
      </c>
      <c r="C11" t="s">
        <v>105</v>
      </c>
      <c r="D11" s="1">
        <v>0.98133422026417205</v>
      </c>
      <c r="E11" s="1">
        <v>0.97678608077583395</v>
      </c>
      <c r="F11" s="1">
        <v>0.99721697854864899</v>
      </c>
      <c r="G11" s="1">
        <v>1.0268515096687101</v>
      </c>
      <c r="H11" s="1">
        <v>1.0483920041460599</v>
      </c>
      <c r="I11" s="1">
        <v>1.0815592415242199</v>
      </c>
      <c r="J11" s="1">
        <v>1.10376959204739</v>
      </c>
      <c r="K11" s="1">
        <v>1.1568843156687201</v>
      </c>
      <c r="L11" s="1">
        <v>1.20227830879085</v>
      </c>
      <c r="M11" s="1">
        <v>1.18732420945229</v>
      </c>
      <c r="N11" s="1">
        <v>1.2124421959141201</v>
      </c>
      <c r="O11" s="1">
        <v>1.2616363621191899</v>
      </c>
      <c r="P11" s="1">
        <v>1.31371908539694</v>
      </c>
      <c r="Q11" s="1">
        <v>1.3763725232533599</v>
      </c>
      <c r="R11" s="1">
        <v>1.3865618950052301</v>
      </c>
      <c r="S11" s="1">
        <v>1.41327289023363</v>
      </c>
      <c r="T11" s="1">
        <v>1.4743893551276801</v>
      </c>
      <c r="U11" s="1">
        <v>1.5370160514562401</v>
      </c>
      <c r="V11" s="1">
        <v>1.55774531264873</v>
      </c>
      <c r="W11" s="1">
        <v>1.53707345601538</v>
      </c>
      <c r="X11" s="1">
        <v>1.6492488274313599</v>
      </c>
      <c r="Y11" s="1">
        <v>1.6488254104231801</v>
      </c>
      <c r="Z11" s="1">
        <v>1.6625297771335901</v>
      </c>
      <c r="AA11" s="1">
        <v>1.70074759590444</v>
      </c>
      <c r="AB11" s="1">
        <v>1.5832228737115099</v>
      </c>
      <c r="AC11" s="1">
        <v>1.6187875128229601</v>
      </c>
      <c r="AD11" s="1">
        <v>1.57247963722843</v>
      </c>
      <c r="AE11" s="1">
        <v>1.6051480200757</v>
      </c>
      <c r="AF11" s="1">
        <v>1.59660420444215</v>
      </c>
      <c r="AG11" s="1">
        <v>1.65116894011256</v>
      </c>
      <c r="AH11" s="1">
        <v>1.54703740538755</v>
      </c>
      <c r="AI11" s="1">
        <v>1.58233303690823</v>
      </c>
      <c r="AJ11" s="1">
        <v>1.6443491939580199</v>
      </c>
      <c r="AK11" s="1">
        <v>1.6632125204021</v>
      </c>
      <c r="AL11" s="1">
        <v>1.6790682799443299</v>
      </c>
      <c r="AM11" s="1">
        <v>1.5855759542228801E-2</v>
      </c>
      <c r="AN11" s="2" t="s">
        <v>93</v>
      </c>
    </row>
    <row r="12" spans="1:40" x14ac:dyDescent="0.25">
      <c r="A12" t="s">
        <v>106</v>
      </c>
      <c r="B12" t="s">
        <v>106</v>
      </c>
      <c r="C12" t="s">
        <v>107</v>
      </c>
      <c r="D12" s="1">
        <v>0.49700545121550499</v>
      </c>
      <c r="E12" s="1">
        <v>0.50321057516315604</v>
      </c>
      <c r="F12" s="1">
        <v>0.523577117454055</v>
      </c>
      <c r="G12" s="1">
        <v>0.54964792499370296</v>
      </c>
      <c r="H12" s="1">
        <v>0.58757591414338906</v>
      </c>
      <c r="I12" s="1">
        <v>0.62079595929770603</v>
      </c>
      <c r="J12" s="1">
        <v>0.63016710458953995</v>
      </c>
      <c r="K12" s="1">
        <v>0.651674071415693</v>
      </c>
      <c r="L12" s="1">
        <v>0.64113578720696196</v>
      </c>
      <c r="M12" s="1">
        <v>0.668450945545639</v>
      </c>
      <c r="N12" s="1">
        <v>0.69469150274135805</v>
      </c>
      <c r="O12" s="1">
        <v>0.72698219383180096</v>
      </c>
      <c r="P12" s="1">
        <v>0.77596128138813003</v>
      </c>
      <c r="Q12" s="1">
        <v>0.82590938351628995</v>
      </c>
      <c r="R12" s="1">
        <v>0.87516791563853102</v>
      </c>
      <c r="S12" s="1">
        <v>0.95400244844051196</v>
      </c>
      <c r="T12" s="1">
        <v>1.04066307226352</v>
      </c>
      <c r="U12" s="1">
        <v>1.11877931236925</v>
      </c>
      <c r="V12" s="1">
        <v>1.1272807532879501</v>
      </c>
      <c r="W12" s="1">
        <v>1.144516597368</v>
      </c>
      <c r="X12" s="1">
        <v>1.2182455722151899</v>
      </c>
      <c r="Y12" s="1">
        <v>1.29685189999678</v>
      </c>
      <c r="Z12" s="1">
        <v>1.3401184019168</v>
      </c>
      <c r="AA12" s="1">
        <v>1.37227419254384</v>
      </c>
      <c r="AB12" s="1">
        <v>1.3924566593691201</v>
      </c>
      <c r="AC12" s="1">
        <v>1.3680827679388601</v>
      </c>
      <c r="AD12" s="1">
        <v>1.4252327546675201</v>
      </c>
      <c r="AE12" s="1">
        <v>1.45794511228724</v>
      </c>
      <c r="AF12" s="1">
        <v>1.49345835579844</v>
      </c>
      <c r="AG12" s="1">
        <v>1.5387841527663499</v>
      </c>
      <c r="AH12" s="1">
        <v>1.55936311657414</v>
      </c>
      <c r="AI12" s="1">
        <v>1.6077646759842299</v>
      </c>
      <c r="AJ12" s="1">
        <v>1.53469556766673</v>
      </c>
      <c r="AK12" s="1">
        <v>1.5172144955467199</v>
      </c>
      <c r="AL12" s="1">
        <v>1.4651396171867499</v>
      </c>
      <c r="AM12" s="1">
        <v>-5.20748783599745E-2</v>
      </c>
      <c r="AN12" s="2" t="s">
        <v>108</v>
      </c>
    </row>
    <row r="13" spans="1:40" x14ac:dyDescent="0.25">
      <c r="A13" t="s">
        <v>106</v>
      </c>
      <c r="B13" t="s">
        <v>106</v>
      </c>
      <c r="C13" t="s">
        <v>109</v>
      </c>
      <c r="D13" s="1">
        <v>0.67357876477982004</v>
      </c>
      <c r="E13" s="1">
        <v>0.65762867706227601</v>
      </c>
      <c r="F13" s="1">
        <v>0.66029006339243101</v>
      </c>
      <c r="G13" s="1">
        <v>0.64862147050974595</v>
      </c>
      <c r="H13" s="1">
        <v>0.67226890811777695</v>
      </c>
      <c r="I13" s="1">
        <v>0.70977794027665997</v>
      </c>
      <c r="J13" s="1">
        <v>0.72527848910733195</v>
      </c>
      <c r="K13" s="1">
        <v>0.72637759262235102</v>
      </c>
      <c r="L13" s="1">
        <v>0.74089221770609104</v>
      </c>
      <c r="M13" s="1">
        <v>0.72399683937032799</v>
      </c>
      <c r="N13" s="1">
        <v>0.73781841058528497</v>
      </c>
      <c r="O13" s="1">
        <v>0.71697428415158904</v>
      </c>
      <c r="P13" s="1">
        <v>0.71092363018960703</v>
      </c>
      <c r="Q13" s="1">
        <v>0.73783513077045604</v>
      </c>
      <c r="R13" s="1">
        <v>0.79310842744496401</v>
      </c>
      <c r="S13" s="1">
        <v>0.86094425051641599</v>
      </c>
      <c r="T13" s="1">
        <v>0.89496957071591099</v>
      </c>
      <c r="U13" s="1">
        <v>0.88265822676082395</v>
      </c>
      <c r="V13" s="1">
        <v>0.81725498343793102</v>
      </c>
      <c r="W13" s="1">
        <v>0.79666049617960599</v>
      </c>
      <c r="X13" s="1">
        <v>0.86675694350304799</v>
      </c>
      <c r="Y13" s="1">
        <v>0.90920276281566403</v>
      </c>
      <c r="Z13" s="1">
        <v>0.92591039329978597</v>
      </c>
      <c r="AA13" s="1">
        <v>0.94747239623911295</v>
      </c>
      <c r="AB13" s="1">
        <v>0.98297116157485898</v>
      </c>
      <c r="AC13" s="1">
        <v>0.91445541639189498</v>
      </c>
      <c r="AD13" s="1">
        <v>0.93219810877036602</v>
      </c>
      <c r="AE13" s="1">
        <v>0.95479591849994705</v>
      </c>
      <c r="AF13" s="1">
        <v>0.96631575875905795</v>
      </c>
      <c r="AG13" s="1">
        <v>0.98001831869219203</v>
      </c>
      <c r="AH13" s="1">
        <v>0.99832034039531303</v>
      </c>
      <c r="AI13" s="1">
        <v>1.02574760093888</v>
      </c>
      <c r="AJ13" s="1">
        <v>1.0164396389156301</v>
      </c>
      <c r="AK13" s="1">
        <v>1.02845463867021</v>
      </c>
      <c r="AL13" s="1">
        <v>1.0455038342386</v>
      </c>
      <c r="AM13" s="1">
        <v>1.7049195568390699E-2</v>
      </c>
      <c r="AN13" s="2" t="s">
        <v>110</v>
      </c>
    </row>
    <row r="14" spans="1:40" x14ac:dyDescent="0.25">
      <c r="A14" t="s">
        <v>106</v>
      </c>
      <c r="B14" t="s">
        <v>106</v>
      </c>
      <c r="C14" t="s">
        <v>111</v>
      </c>
      <c r="D14" s="1">
        <v>0.28121298427799502</v>
      </c>
      <c r="E14" s="1">
        <v>0.27880440429201803</v>
      </c>
      <c r="F14" s="1">
        <v>0.25891436349243502</v>
      </c>
      <c r="G14" s="1">
        <v>0.25331478103330801</v>
      </c>
      <c r="H14" s="1">
        <v>0.25035590877230102</v>
      </c>
      <c r="I14" s="1">
        <v>0.248985758436545</v>
      </c>
      <c r="J14" s="1">
        <v>0.25113159001510199</v>
      </c>
      <c r="K14" s="1">
        <v>0.258191459989834</v>
      </c>
      <c r="L14" s="1">
        <v>0.24849943346116801</v>
      </c>
      <c r="M14" s="1">
        <v>0.24998737818602099</v>
      </c>
      <c r="N14" s="1">
        <v>0.26575877709292201</v>
      </c>
      <c r="O14" s="1">
        <v>0.24513235852087101</v>
      </c>
      <c r="P14" s="1">
        <v>0.26215613182400699</v>
      </c>
      <c r="Q14" s="1">
        <v>0.27365447399155701</v>
      </c>
      <c r="R14" s="1">
        <v>0.30265430134950699</v>
      </c>
      <c r="S14" s="1">
        <v>0.30209463745533199</v>
      </c>
      <c r="T14" s="1">
        <v>0.325306333952538</v>
      </c>
      <c r="U14" s="1">
        <v>0.36908800966618399</v>
      </c>
      <c r="V14" s="1">
        <v>0.35347693642030298</v>
      </c>
      <c r="W14" s="1">
        <v>0.322999375354731</v>
      </c>
      <c r="X14" s="1">
        <v>0.343025683552238</v>
      </c>
      <c r="Y14" s="1">
        <v>0.36200553634398902</v>
      </c>
      <c r="Z14" s="1">
        <v>0.37539513149548198</v>
      </c>
      <c r="AA14" s="1">
        <v>0.40151342701312298</v>
      </c>
      <c r="AB14" s="1">
        <v>0.45195090733440602</v>
      </c>
      <c r="AC14" s="1">
        <v>0.40857120437771399</v>
      </c>
      <c r="AD14" s="1">
        <v>0.40849279241693098</v>
      </c>
      <c r="AE14" s="1">
        <v>0.416933656154169</v>
      </c>
      <c r="AF14" s="1">
        <v>0.42778476961561401</v>
      </c>
      <c r="AG14" s="1">
        <v>0.44506400039301203</v>
      </c>
      <c r="AH14" s="1">
        <v>0.44215988483004498</v>
      </c>
      <c r="AI14" s="1">
        <v>0.46308949312820902</v>
      </c>
      <c r="AJ14" s="1">
        <v>0.45656514067802501</v>
      </c>
      <c r="AK14" s="1">
        <v>0.46389186786620501</v>
      </c>
      <c r="AL14" s="1">
        <v>0.47207217467488799</v>
      </c>
      <c r="AM14" s="1">
        <v>8.18030680868281E-3</v>
      </c>
      <c r="AN14" s="2" t="s">
        <v>112</v>
      </c>
    </row>
    <row r="15" spans="1:40" x14ac:dyDescent="0.25">
      <c r="A15" t="s">
        <v>106</v>
      </c>
      <c r="B15" t="s">
        <v>106</v>
      </c>
      <c r="C15" t="s">
        <v>113</v>
      </c>
      <c r="D15" s="1">
        <v>0.475959073699595</v>
      </c>
      <c r="E15" s="1">
        <v>0.48700557700751501</v>
      </c>
      <c r="F15" s="1">
        <v>0.50935406203783895</v>
      </c>
      <c r="G15" s="1">
        <v>0.53078609194308202</v>
      </c>
      <c r="H15" s="1">
        <v>0.56735979832823902</v>
      </c>
      <c r="I15" s="1">
        <v>0.61685667607054295</v>
      </c>
      <c r="J15" s="1">
        <v>0.64818715763475598</v>
      </c>
      <c r="K15" s="1">
        <v>0.68037174287579405</v>
      </c>
      <c r="L15" s="1">
        <v>0.69740948949489001</v>
      </c>
      <c r="M15" s="1">
        <v>0.73049697349896703</v>
      </c>
      <c r="N15" s="1">
        <v>0.77039887527909001</v>
      </c>
      <c r="O15" s="1">
        <v>0.80037410202186099</v>
      </c>
      <c r="P15" s="1">
        <v>0.88258025924142602</v>
      </c>
      <c r="Q15" s="1">
        <v>0.92443685197397896</v>
      </c>
      <c r="R15" s="1">
        <v>0.984003697295463</v>
      </c>
      <c r="S15" s="1">
        <v>1.01822312222949</v>
      </c>
      <c r="T15" s="1">
        <v>0.99966664884379997</v>
      </c>
      <c r="U15" s="1">
        <v>1.0519978079211301</v>
      </c>
      <c r="V15" s="1">
        <v>1.0920892550088599</v>
      </c>
      <c r="W15" s="1">
        <v>1.1127966210228999</v>
      </c>
      <c r="X15" s="1">
        <v>1.1724877903000399</v>
      </c>
      <c r="Y15" s="1">
        <v>1.2410575239525801</v>
      </c>
      <c r="Z15" s="1">
        <v>1.3148665625449401</v>
      </c>
      <c r="AA15" s="1">
        <v>1.3729607624667399</v>
      </c>
      <c r="AB15" s="1">
        <v>1.4336581221389999</v>
      </c>
      <c r="AC15" s="1">
        <v>1.4865579201785999</v>
      </c>
      <c r="AD15" s="1">
        <v>1.5759840360922099</v>
      </c>
      <c r="AE15" s="1">
        <v>1.64073311165128</v>
      </c>
      <c r="AF15" s="1">
        <v>1.7189132193993699</v>
      </c>
      <c r="AG15" s="1">
        <v>1.7953664907561699</v>
      </c>
      <c r="AH15" s="1">
        <v>1.85224593096376</v>
      </c>
      <c r="AI15" s="1">
        <v>1.9344790933090099</v>
      </c>
      <c r="AJ15" s="1">
        <v>1.9880853719550799</v>
      </c>
      <c r="AK15" s="1">
        <v>2.0514281726290502</v>
      </c>
      <c r="AL15" s="1">
        <v>2.11497714131781</v>
      </c>
      <c r="AM15" s="1">
        <v>6.3548968688768206E-2</v>
      </c>
      <c r="AN15" s="2" t="s">
        <v>114</v>
      </c>
    </row>
    <row r="16" spans="1:40" x14ac:dyDescent="0.25">
      <c r="A16" t="s">
        <v>115</v>
      </c>
      <c r="B16" t="s">
        <v>115</v>
      </c>
      <c r="C16" t="s">
        <v>116</v>
      </c>
      <c r="D16" s="1">
        <v>2.9347311405166501</v>
      </c>
      <c r="E16" s="1">
        <v>2.9340068421652199</v>
      </c>
      <c r="F16" s="1">
        <v>2.9344910533787698</v>
      </c>
      <c r="G16" s="1">
        <v>2.92597511616788</v>
      </c>
      <c r="H16" s="1">
        <v>2.9491337760677601</v>
      </c>
      <c r="I16" s="1">
        <v>2.95915638063116</v>
      </c>
      <c r="J16" s="1">
        <v>2.9651123782756499</v>
      </c>
      <c r="K16" s="1">
        <v>2.9093525781041301</v>
      </c>
      <c r="L16" s="1">
        <v>2.9191007155955502</v>
      </c>
      <c r="M16" s="1">
        <v>2.9290661902009498</v>
      </c>
      <c r="N16" s="1">
        <v>2.9449219657589398</v>
      </c>
      <c r="O16" s="1">
        <v>2.95303130784482</v>
      </c>
      <c r="P16" s="1">
        <v>2.98964588441783</v>
      </c>
      <c r="Q16" s="1">
        <v>3.0296987401143198</v>
      </c>
      <c r="R16" s="1">
        <v>3.0718933915575302</v>
      </c>
      <c r="S16" s="1">
        <v>3.0988633020325098</v>
      </c>
      <c r="T16" s="1">
        <v>3.1388590379893002</v>
      </c>
      <c r="U16" s="1">
        <v>3.17916406710625</v>
      </c>
      <c r="V16" s="1">
        <v>3.21802072209768</v>
      </c>
      <c r="W16" s="1">
        <v>3.23354805578039</v>
      </c>
      <c r="X16" s="1">
        <v>3.2471794713297899</v>
      </c>
      <c r="Y16" s="1">
        <v>3.2662797226172899</v>
      </c>
      <c r="Z16" s="1">
        <v>3.2982962487605598</v>
      </c>
      <c r="AA16" s="1">
        <v>3.31819706303083</v>
      </c>
      <c r="AB16" s="1">
        <v>3.3418179975648501</v>
      </c>
      <c r="AC16" s="1">
        <v>3.3785146079266002</v>
      </c>
      <c r="AD16" s="1">
        <v>3.41732548485952</v>
      </c>
      <c r="AE16" s="1">
        <v>3.4343106918645998</v>
      </c>
      <c r="AF16" s="1">
        <v>3.44314219165335</v>
      </c>
      <c r="AG16" s="1">
        <v>3.4623102157146199</v>
      </c>
      <c r="AH16" s="1">
        <v>3.5094501593151799</v>
      </c>
      <c r="AI16" s="1">
        <v>3.5402576907397201</v>
      </c>
      <c r="AJ16" s="1">
        <v>3.5791816231365901</v>
      </c>
      <c r="AK16" s="1">
        <v>3.6266051381248499</v>
      </c>
      <c r="AL16" s="1">
        <v>3.6283572622106699</v>
      </c>
      <c r="AM16" s="1">
        <v>1.75212408581782E-3</v>
      </c>
      <c r="AN16" s="2" t="s">
        <v>117</v>
      </c>
    </row>
    <row r="17" spans="1:40" x14ac:dyDescent="0.25">
      <c r="A17" t="s">
        <v>115</v>
      </c>
      <c r="B17" t="s">
        <v>115</v>
      </c>
      <c r="C17" t="s">
        <v>118</v>
      </c>
      <c r="D17" s="1">
        <v>2.0491777798964601</v>
      </c>
      <c r="E17" s="1">
        <v>2.02381861583051</v>
      </c>
      <c r="F17" s="1">
        <v>2.02826422292015</v>
      </c>
      <c r="G17" s="1">
        <v>2.0010952605874199</v>
      </c>
      <c r="H17" s="1">
        <v>2.0217300831077099</v>
      </c>
      <c r="I17" s="1">
        <v>2.06512544223619</v>
      </c>
      <c r="J17" s="1">
        <v>2.1018469193796498</v>
      </c>
      <c r="K17" s="1">
        <v>2.08745059584981</v>
      </c>
      <c r="L17" s="1">
        <v>2.0964643300555101</v>
      </c>
      <c r="M17" s="1">
        <v>2.1441255262577998</v>
      </c>
      <c r="N17" s="1">
        <v>2.1190883903666702</v>
      </c>
      <c r="O17" s="1">
        <v>2.11894922382236</v>
      </c>
      <c r="P17" s="1">
        <v>2.1367686393732099</v>
      </c>
      <c r="Q17" s="1">
        <v>2.1500077115849998</v>
      </c>
      <c r="R17" s="1">
        <v>2.2178658435343599</v>
      </c>
      <c r="S17" s="1">
        <v>2.2328475681647899</v>
      </c>
      <c r="T17" s="1">
        <v>2.2718606914879</v>
      </c>
      <c r="U17" s="1">
        <v>2.2990923946610402</v>
      </c>
      <c r="V17" s="1">
        <v>2.3173928165254898</v>
      </c>
      <c r="W17" s="1">
        <v>2.3641926018153701</v>
      </c>
      <c r="X17" s="1">
        <v>2.3766919431042699</v>
      </c>
      <c r="Y17" s="1">
        <v>2.4268097687725199</v>
      </c>
      <c r="Z17" s="1">
        <v>2.43970734938343</v>
      </c>
      <c r="AA17" s="1">
        <v>2.4829078281196701</v>
      </c>
      <c r="AB17" s="1">
        <v>2.4721253290459999</v>
      </c>
      <c r="AC17" s="1">
        <v>2.48168078481668</v>
      </c>
      <c r="AD17" s="1">
        <v>2.5025070624546402</v>
      </c>
      <c r="AE17" s="1">
        <v>2.50228163772511</v>
      </c>
      <c r="AF17" s="1">
        <v>2.5034352957830199</v>
      </c>
      <c r="AG17" s="1">
        <v>2.52673454425608</v>
      </c>
      <c r="AH17" s="1">
        <v>2.5789575095814201</v>
      </c>
      <c r="AI17" s="1">
        <v>2.5750767788089401</v>
      </c>
      <c r="AJ17" s="1">
        <v>2.5786045813685701</v>
      </c>
      <c r="AK17" s="1">
        <v>2.6017039027876301</v>
      </c>
      <c r="AL17" s="1">
        <v>2.6230841832576801</v>
      </c>
      <c r="AM17" s="1">
        <v>2.1380280470045102E-2</v>
      </c>
      <c r="AN17" s="2" t="s">
        <v>119</v>
      </c>
    </row>
    <row r="18" spans="1:40" x14ac:dyDescent="0.25">
      <c r="A18" t="s">
        <v>120</v>
      </c>
      <c r="B18" t="s">
        <v>120</v>
      </c>
      <c r="C18" t="s">
        <v>121</v>
      </c>
      <c r="D18" s="1">
        <v>0.76024932225109099</v>
      </c>
      <c r="E18" s="1">
        <v>0.77750391939435204</v>
      </c>
      <c r="F18" s="1">
        <v>0.79232444807352997</v>
      </c>
      <c r="G18" s="1">
        <v>0.803910184526057</v>
      </c>
      <c r="H18" s="1">
        <v>0.81636878169967897</v>
      </c>
      <c r="I18" s="1">
        <v>0.82316913708827399</v>
      </c>
      <c r="J18" s="1">
        <v>0.82947455935269498</v>
      </c>
      <c r="K18" s="1">
        <v>0.82956734431650803</v>
      </c>
      <c r="L18" s="1">
        <v>0.82612537896273697</v>
      </c>
      <c r="M18" s="1">
        <v>0.82592738221750195</v>
      </c>
      <c r="N18" s="1">
        <v>0.83345343200078803</v>
      </c>
      <c r="O18" s="1">
        <v>0.83872675618228398</v>
      </c>
      <c r="P18" s="1">
        <v>0.84422804864300205</v>
      </c>
      <c r="Q18" s="1">
        <v>0.85351109174413797</v>
      </c>
      <c r="R18" s="1">
        <v>0.857346009463408</v>
      </c>
      <c r="S18" s="1">
        <v>0.86356462573037196</v>
      </c>
      <c r="T18" s="1">
        <v>0.87739296416303603</v>
      </c>
      <c r="U18" s="1">
        <v>0.88694504319905298</v>
      </c>
      <c r="V18" s="1">
        <v>0.898733503375298</v>
      </c>
      <c r="W18" s="1">
        <v>0.91175330983986103</v>
      </c>
      <c r="X18" s="1">
        <v>0.93610025846879497</v>
      </c>
      <c r="Y18" s="1">
        <v>0.95130293279811995</v>
      </c>
      <c r="Z18" s="1">
        <v>0.97696022542241301</v>
      </c>
      <c r="AA18" s="1">
        <v>0.98055695188508296</v>
      </c>
      <c r="AB18" s="1">
        <v>0.9914828989201</v>
      </c>
      <c r="AC18" s="1">
        <v>1.0105286776782501</v>
      </c>
      <c r="AD18" s="1">
        <v>1.02106214612802</v>
      </c>
      <c r="AE18" s="1">
        <v>1.040084763356</v>
      </c>
      <c r="AF18" s="1">
        <v>1.0474833747419301</v>
      </c>
      <c r="AG18" s="1">
        <v>1.05518843472807</v>
      </c>
      <c r="AH18" s="1">
        <v>1.05276192359867</v>
      </c>
      <c r="AI18" s="1">
        <v>1.0417608848842499</v>
      </c>
      <c r="AJ18" s="1">
        <v>1.01360613033716</v>
      </c>
      <c r="AK18" s="1">
        <v>0.98404494236727402</v>
      </c>
      <c r="AL18" s="1">
        <v>0.97722985527448103</v>
      </c>
      <c r="AM18" s="1">
        <v>-6.81508709279366E-3</v>
      </c>
      <c r="AN18" s="2" t="s">
        <v>122</v>
      </c>
    </row>
    <row r="19" spans="1:40" x14ac:dyDescent="0.25">
      <c r="A19" t="s">
        <v>120</v>
      </c>
      <c r="B19" t="s">
        <v>120</v>
      </c>
      <c r="C19" t="s">
        <v>123</v>
      </c>
      <c r="D19" s="1">
        <v>0.47605655933040902</v>
      </c>
      <c r="E19" s="1">
        <v>0.47571746132175202</v>
      </c>
      <c r="F19" s="1">
        <v>0.47926175184176401</v>
      </c>
      <c r="G19" s="1">
        <v>0.47676430902637801</v>
      </c>
      <c r="H19" s="1">
        <v>0.48103023440429699</v>
      </c>
      <c r="I19" s="1">
        <v>0.48778757758868202</v>
      </c>
      <c r="J19" s="1">
        <v>0.48756940992631798</v>
      </c>
      <c r="K19" s="1">
        <v>0.49179620395471502</v>
      </c>
      <c r="L19" s="1">
        <v>0.49699107193173903</v>
      </c>
      <c r="M19" s="1">
        <v>0.50170907142224996</v>
      </c>
      <c r="N19" s="1">
        <v>0.50500816034360696</v>
      </c>
      <c r="O19" s="1">
        <v>0.511807304344986</v>
      </c>
      <c r="P19" s="1">
        <v>0.52267886820263099</v>
      </c>
      <c r="Q19" s="1">
        <v>0.53276244342185297</v>
      </c>
      <c r="R19" s="1">
        <v>0.54786910141918999</v>
      </c>
      <c r="S19" s="1">
        <v>0.55744446201627795</v>
      </c>
      <c r="T19" s="1">
        <v>0.56954399639153497</v>
      </c>
      <c r="U19" s="1">
        <v>0.58990749684745802</v>
      </c>
      <c r="V19" s="1">
        <v>0.60121790774970696</v>
      </c>
      <c r="W19" s="1">
        <v>0.60602811180328597</v>
      </c>
      <c r="X19" s="1">
        <v>0.63011078059911696</v>
      </c>
      <c r="Y19" s="1">
        <v>0.64762071475734995</v>
      </c>
      <c r="Z19" s="1">
        <v>0.656280097797175</v>
      </c>
      <c r="AA19" s="1">
        <v>0.671280436986881</v>
      </c>
      <c r="AB19" s="1">
        <v>0.68671547257884302</v>
      </c>
      <c r="AC19" s="1">
        <v>0.702358037649633</v>
      </c>
      <c r="AD19" s="1">
        <v>0.71557160677032705</v>
      </c>
      <c r="AE19" s="1">
        <v>0.72755354562817298</v>
      </c>
      <c r="AF19" s="1">
        <v>0.74452466994660105</v>
      </c>
      <c r="AG19" s="1">
        <v>0.75360986931181095</v>
      </c>
      <c r="AH19" s="1">
        <v>0.76663216454835204</v>
      </c>
      <c r="AI19" s="1">
        <v>0.784362648368221</v>
      </c>
      <c r="AJ19" s="1">
        <v>0.79621750858110696</v>
      </c>
      <c r="AK19" s="1">
        <v>0.81164269941123801</v>
      </c>
      <c r="AL19" s="1">
        <v>0.82396986333030098</v>
      </c>
      <c r="AM19" s="1">
        <v>1.2327163919063499E-2</v>
      </c>
      <c r="AN19" s="2" t="s">
        <v>85</v>
      </c>
    </row>
    <row r="20" spans="1:40" x14ac:dyDescent="0.25">
      <c r="A20" t="s">
        <v>120</v>
      </c>
      <c r="B20" t="s">
        <v>120</v>
      </c>
      <c r="C20" t="s">
        <v>124</v>
      </c>
      <c r="D20" s="1">
        <v>0.22886670685674801</v>
      </c>
      <c r="E20" s="1">
        <v>0.255466910305851</v>
      </c>
      <c r="F20" s="1">
        <v>0.23195841258566399</v>
      </c>
      <c r="G20" s="1">
        <v>0.236779313623736</v>
      </c>
      <c r="H20" s="1">
        <v>0.22985255801485099</v>
      </c>
      <c r="I20" s="1">
        <v>0.23166274284469099</v>
      </c>
      <c r="J20" s="1">
        <v>0.23488423719430501</v>
      </c>
      <c r="K20" s="1">
        <v>0.21732653284185</v>
      </c>
      <c r="L20" s="1">
        <v>0.233191808875441</v>
      </c>
      <c r="M20" s="1">
        <v>0.23224254946071399</v>
      </c>
      <c r="N20" s="1">
        <v>0.23975576758574199</v>
      </c>
      <c r="O20" s="1">
        <v>0.23190931576250101</v>
      </c>
      <c r="P20" s="1">
        <v>0.22626229272780701</v>
      </c>
      <c r="Q20" s="1">
        <v>0.22815204999800301</v>
      </c>
      <c r="R20" s="1">
        <v>0.236190490993654</v>
      </c>
      <c r="S20" s="1">
        <v>0.23576828998779401</v>
      </c>
      <c r="T20" s="1">
        <v>0.23784182196951201</v>
      </c>
      <c r="U20" s="1">
        <v>0.24340398721704701</v>
      </c>
      <c r="V20" s="1">
        <v>0.2375561029378</v>
      </c>
      <c r="W20" s="1">
        <v>0.23298649713088601</v>
      </c>
      <c r="X20" s="1">
        <v>0.24207983436920799</v>
      </c>
      <c r="Y20" s="1">
        <v>0.24611034694722</v>
      </c>
      <c r="Z20" s="1">
        <v>0.24528603468614599</v>
      </c>
      <c r="AA20" s="1">
        <v>0.23626608216490899</v>
      </c>
      <c r="AB20" s="1">
        <v>0.23697410025256299</v>
      </c>
      <c r="AC20" s="1">
        <v>0.236501527120937</v>
      </c>
      <c r="AD20" s="1">
        <v>0.232163734937128</v>
      </c>
      <c r="AE20" s="1">
        <v>0.23398435707878701</v>
      </c>
      <c r="AF20" s="1">
        <v>0.23335772353387599</v>
      </c>
      <c r="AG20" s="1">
        <v>0.23447658008587699</v>
      </c>
      <c r="AH20" s="1">
        <v>0.221858347536634</v>
      </c>
      <c r="AI20" s="1">
        <v>0.22757328572455701</v>
      </c>
      <c r="AJ20" s="1">
        <v>0.229773136873479</v>
      </c>
      <c r="AK20" s="1">
        <v>0.238021924904989</v>
      </c>
      <c r="AL20" s="1">
        <v>0.23859678788435801</v>
      </c>
      <c r="AM20" s="1">
        <v>5.7486297936903995E-4</v>
      </c>
      <c r="AN20" s="2" t="s">
        <v>125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table_1</vt:lpstr>
      <vt:lpstr>total_by_gas</vt:lpstr>
      <vt:lpstr>total_by_sector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lamw</dc:creator>
  <cp:lastModifiedBy>William Lamb</cp:lastModifiedBy>
  <dcterms:created xsi:type="dcterms:W3CDTF">2025-09-16T13:14:46Z</dcterms:created>
  <dcterms:modified xsi:type="dcterms:W3CDTF">2025-09-16T14:57:47Z</dcterms:modified>
</cp:coreProperties>
</file>